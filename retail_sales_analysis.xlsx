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620" tabRatio="500" activeTab="2"/>
  </bookViews>
  <sheets>
    <sheet name="Sheet1" sheetId="4" r:id="rId1"/>
    <sheet name="Sheet2" sheetId="5" r:id="rId2"/>
    <sheet name="Sales_Data" sheetId="1" r:id="rId3"/>
    <sheet name="Summary_Analysis" sheetId="2" r:id="rId4"/>
    <sheet name="📋 Project Guide" sheetId="3" r:id="rId5"/>
  </sheets>
  <definedNames>
    <definedName name="_xlnm._FilterDatabase" localSheetId="2" hidden="1">Sales_Data!$A$1:$P$501</definedName>
    <definedName name="Slicer_Category">#N/A</definedName>
    <definedName name="Slicer_Region">#N/A</definedName>
    <definedName name="Slicer_Segment">#N/A</definedName>
  </definedNames>
  <calcPr calcId="162913" iterateDelta="1E-4"/>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M19" i="2" l="1"/>
  <c r="L19" i="2"/>
  <c r="K19" i="2"/>
  <c r="J19" i="2"/>
  <c r="I19" i="2"/>
  <c r="H19" i="2"/>
  <c r="G19" i="2"/>
  <c r="F19" i="2"/>
  <c r="E19" i="2"/>
  <c r="D19" i="2"/>
  <c r="C19" i="2"/>
  <c r="B19" i="2"/>
  <c r="M18" i="2"/>
  <c r="L18" i="2"/>
  <c r="K18" i="2"/>
  <c r="J18" i="2"/>
  <c r="I18" i="2"/>
  <c r="H18" i="2"/>
  <c r="G18" i="2"/>
  <c r="F18" i="2"/>
  <c r="E18" i="2"/>
  <c r="D18" i="2"/>
  <c r="C18" i="2"/>
  <c r="B18" i="2"/>
  <c r="C13" i="2"/>
  <c r="B13" i="2"/>
  <c r="H12" i="2"/>
  <c r="G12" i="2"/>
  <c r="C12" i="2"/>
  <c r="B12" i="2"/>
  <c r="H11" i="2"/>
  <c r="G11" i="2"/>
  <c r="C11" i="2"/>
  <c r="B11" i="2"/>
  <c r="H10" i="2"/>
  <c r="G10" i="2"/>
  <c r="C10" i="2"/>
  <c r="B10" i="2"/>
  <c r="I5" i="2"/>
  <c r="G5" i="2"/>
  <c r="C5" i="2"/>
  <c r="A5" i="2"/>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D12" i="2" s="1"/>
  <c r="P6" i="1"/>
  <c r="I11" i="2" s="1"/>
  <c r="P5" i="1"/>
  <c r="D10" i="2" s="1"/>
  <c r="P4" i="1"/>
  <c r="D11" i="2" s="1"/>
  <c r="P3" i="1"/>
  <c r="I12" i="2" s="1"/>
  <c r="P2" i="1"/>
  <c r="D13" i="2" s="1"/>
  <c r="E5" i="2" l="1"/>
  <c r="I10" i="2"/>
</calcChain>
</file>

<file path=xl/sharedStrings.xml><?xml version="1.0" encoding="utf-8"?>
<sst xmlns="http://schemas.openxmlformats.org/spreadsheetml/2006/main" count="4622" uniqueCount="1236">
  <si>
    <t>Order_ID</t>
  </si>
  <si>
    <t>Order_Date</t>
  </si>
  <si>
    <t>Ship_Date</t>
  </si>
  <si>
    <t>Customer_ID</t>
  </si>
  <si>
    <t>Customer_Name</t>
  </si>
  <si>
    <t>Segment</t>
  </si>
  <si>
    <t>Region</t>
  </si>
  <si>
    <t>State</t>
  </si>
  <si>
    <t>Category</t>
  </si>
  <si>
    <t>Sub_Category</t>
  </si>
  <si>
    <t>Product_Name</t>
  </si>
  <si>
    <t>Sales</t>
  </si>
  <si>
    <t>Quantity</t>
  </si>
  <si>
    <t>Discount</t>
  </si>
  <si>
    <t>Profit</t>
  </si>
  <si>
    <t>Profit_Margin%</t>
  </si>
  <si>
    <t>ORD-10001</t>
  </si>
  <si>
    <t>C-1520</t>
  </si>
  <si>
    <t>Alice Johnson</t>
  </si>
  <si>
    <t>Consumer</t>
  </si>
  <si>
    <t>West</t>
  </si>
  <si>
    <t>Oregon</t>
  </si>
  <si>
    <t>Technology</t>
  </si>
  <si>
    <t>Accessories</t>
  </si>
  <si>
    <t>Keyboard</t>
  </si>
  <si>
    <t>ORD-10002</t>
  </si>
  <si>
    <t>C-3615</t>
  </si>
  <si>
    <t>Grace Garcia</t>
  </si>
  <si>
    <t>Home Office</t>
  </si>
  <si>
    <t>Washington</t>
  </si>
  <si>
    <t>Office Supplies</t>
  </si>
  <si>
    <t>Appliances</t>
  </si>
  <si>
    <t>Coffee Maker</t>
  </si>
  <si>
    <t>ORD-10003</t>
  </si>
  <si>
    <t>C-8527</t>
  </si>
  <si>
    <t>Iris Johnson</t>
  </si>
  <si>
    <t>East</t>
  </si>
  <si>
    <t>Virginia</t>
  </si>
  <si>
    <t>Copiers</t>
  </si>
  <si>
    <t>Canon Copier</t>
  </si>
  <si>
    <t>ORD-10004</t>
  </si>
  <si>
    <t>C-2654</t>
  </si>
  <si>
    <t>Grace Jones</t>
  </si>
  <si>
    <t>Central</t>
  </si>
  <si>
    <t>Ohio</t>
  </si>
  <si>
    <t>Phones</t>
  </si>
  <si>
    <t>iPhone 13</t>
  </si>
  <si>
    <t>ORD-10005</t>
  </si>
  <si>
    <t>C-3803</t>
  </si>
  <si>
    <t>Iris Brown</t>
  </si>
  <si>
    <t>Corporate</t>
  </si>
  <si>
    <t>Illinois</t>
  </si>
  <si>
    <t>Furniture</t>
  </si>
  <si>
    <t>Tables</t>
  </si>
  <si>
    <t>Side Table</t>
  </si>
  <si>
    <t>ORD-10006</t>
  </si>
  <si>
    <t>C-1525</t>
  </si>
  <si>
    <t>Frank Martinez</t>
  </si>
  <si>
    <t>South</t>
  </si>
  <si>
    <t>Tennessee</t>
  </si>
  <si>
    <t>Paper</t>
  </si>
  <si>
    <t>Copy Paper</t>
  </si>
  <si>
    <t>ORD-10007</t>
  </si>
  <si>
    <t>C-9830</t>
  </si>
  <si>
    <t>Eve Martinez</t>
  </si>
  <si>
    <t>Microwave</t>
  </si>
  <si>
    <t>ORD-10008</t>
  </si>
  <si>
    <t>C-7916</t>
  </si>
  <si>
    <t>Jack Johnson</t>
  </si>
  <si>
    <t>ORD-10009</t>
  </si>
  <si>
    <t>C-8123</t>
  </si>
  <si>
    <t>Carol Davis</t>
  </si>
  <si>
    <t>Pixel 6</t>
  </si>
  <si>
    <t>ORD-10010</t>
  </si>
  <si>
    <t>C-3646</t>
  </si>
  <si>
    <t>Iris Smith</t>
  </si>
  <si>
    <t>Computers</t>
  </si>
  <si>
    <t>HP Notebook</t>
  </si>
  <si>
    <t>ORD-10011</t>
  </si>
  <si>
    <t>C-8962</t>
  </si>
  <si>
    <t>Bob Williams</t>
  </si>
  <si>
    <t>Georgia</t>
  </si>
  <si>
    <t>Bookcases</t>
  </si>
  <si>
    <t>5-Shelf Bookcase</t>
  </si>
  <si>
    <t>ORD-10012</t>
  </si>
  <si>
    <t>C-7537</t>
  </si>
  <si>
    <t>Frank Davis</t>
  </si>
  <si>
    <t>North Carolina</t>
  </si>
  <si>
    <t>ORD-10013</t>
  </si>
  <si>
    <t>C-1964</t>
  </si>
  <si>
    <t>David Johnson</t>
  </si>
  <si>
    <t>Dell Laptop</t>
  </si>
  <si>
    <t>ORD-10014</t>
  </si>
  <si>
    <t>C-8744</t>
  </si>
  <si>
    <t>David Davis</t>
  </si>
  <si>
    <t>Texas</t>
  </si>
  <si>
    <t>ORD-10015</t>
  </si>
  <si>
    <t>C-2612</t>
  </si>
  <si>
    <t>Alice Martinez</t>
  </si>
  <si>
    <t>California</t>
  </si>
  <si>
    <t>3-Shelf Bookcase</t>
  </si>
  <si>
    <t>ORD-10016</t>
  </si>
  <si>
    <t>C-2235</t>
  </si>
  <si>
    <t>Henry Johnson</t>
  </si>
  <si>
    <t>ORD-10017</t>
  </si>
  <si>
    <t>C-3697</t>
  </si>
  <si>
    <t>Grace Smith</t>
  </si>
  <si>
    <t>Xerox MX</t>
  </si>
  <si>
    <t>ORD-10018</t>
  </si>
  <si>
    <t>C-9883</t>
  </si>
  <si>
    <t>Alice Garcia</t>
  </si>
  <si>
    <t>ORD-10019</t>
  </si>
  <si>
    <t>C-5033</t>
  </si>
  <si>
    <t>Jack Smith</t>
  </si>
  <si>
    <t>Binders</t>
  </si>
  <si>
    <t>Heavy Duty Binder</t>
  </si>
  <si>
    <t>ORD-10020</t>
  </si>
  <si>
    <t>C-2188</t>
  </si>
  <si>
    <t>Alice Davis</t>
  </si>
  <si>
    <t>ORD-10021</t>
  </si>
  <si>
    <t>C-3584</t>
  </si>
  <si>
    <t>Henry Jones</t>
  </si>
  <si>
    <t>ORD-10022</t>
  </si>
  <si>
    <t>C-4450</t>
  </si>
  <si>
    <t>Frank Brown</t>
  </si>
  <si>
    <t>Wireless Mouse</t>
  </si>
  <si>
    <t>ORD-10023</t>
  </si>
  <si>
    <t>C-3143</t>
  </si>
  <si>
    <t>Eve Williams</t>
  </si>
  <si>
    <t>Michigan</t>
  </si>
  <si>
    <t>ORD-10024</t>
  </si>
  <si>
    <t>C-1685</t>
  </si>
  <si>
    <t>Eve Garcia</t>
  </si>
  <si>
    <t>ORD-10025</t>
  </si>
  <si>
    <t>C-4878</t>
  </si>
  <si>
    <t>Carol Williams</t>
  </si>
  <si>
    <t>Pennsylvania</t>
  </si>
  <si>
    <t>ORD-10026</t>
  </si>
  <si>
    <t>C-1634</t>
  </si>
  <si>
    <t>Henry Brown</t>
  </si>
  <si>
    <t>Legal Pad</t>
  </si>
  <si>
    <t>ORD-10027</t>
  </si>
  <si>
    <t>C-5573</t>
  </si>
  <si>
    <t>USB Hub</t>
  </si>
  <si>
    <t>ORD-10028</t>
  </si>
  <si>
    <t>C-6139</t>
  </si>
  <si>
    <t>Grace Johnson</t>
  </si>
  <si>
    <t>ORD-10029</t>
  </si>
  <si>
    <t>C-2146</t>
  </si>
  <si>
    <t>Frank Garcia</t>
  </si>
  <si>
    <t>ORD-10030</t>
  </si>
  <si>
    <t>C-7211</t>
  </si>
  <si>
    <t>Carol Jones</t>
  </si>
  <si>
    <t>Furnishings</t>
  </si>
  <si>
    <t>Storage Cabinet</t>
  </si>
  <si>
    <t>ORD-10031</t>
  </si>
  <si>
    <t>C-4501</t>
  </si>
  <si>
    <t>Iris Davis</t>
  </si>
  <si>
    <t>Brother Printer</t>
  </si>
  <si>
    <t>ORD-10032</t>
  </si>
  <si>
    <t>C-3414</t>
  </si>
  <si>
    <t>Alice Smith</t>
  </si>
  <si>
    <t>Storage</t>
  </si>
  <si>
    <t>File Box</t>
  </si>
  <si>
    <t>ORD-10033</t>
  </si>
  <si>
    <t>C-1090</t>
  </si>
  <si>
    <t>Bob Martinez</t>
  </si>
  <si>
    <t>Nevada</t>
  </si>
  <si>
    <t>ORD-10034</t>
  </si>
  <si>
    <t>C-8251</t>
  </si>
  <si>
    <t>Jack Martinez</t>
  </si>
  <si>
    <t>Samsung Galaxy S22</t>
  </si>
  <si>
    <t>ORD-10035</t>
  </si>
  <si>
    <t>C-5499</t>
  </si>
  <si>
    <t>Florida</t>
  </si>
  <si>
    <t>ORD-10036</t>
  </si>
  <si>
    <t>C-2052</t>
  </si>
  <si>
    <t>Grace Martinez</t>
  </si>
  <si>
    <t>ORD-10037</t>
  </si>
  <si>
    <t>C-7232</t>
  </si>
  <si>
    <t>Henry Smith</t>
  </si>
  <si>
    <t>Alabama</t>
  </si>
  <si>
    <t>ORD-10038</t>
  </si>
  <si>
    <t>C-6507</t>
  </si>
  <si>
    <t>Grace Williams</t>
  </si>
  <si>
    <t>ORD-10039</t>
  </si>
  <si>
    <t>C-5262</t>
  </si>
  <si>
    <t>ORD-10040</t>
  </si>
  <si>
    <t>C-6733</t>
  </si>
  <si>
    <t>ORD-10041</t>
  </si>
  <si>
    <t>C-4571</t>
  </si>
  <si>
    <t>ORD-10042</t>
  </si>
  <si>
    <t>C-4249</t>
  </si>
  <si>
    <t>Bob Brown</t>
  </si>
  <si>
    <t>ORD-10043</t>
  </si>
  <si>
    <t>C-6590</t>
  </si>
  <si>
    <t>ORD-10044</t>
  </si>
  <si>
    <t>C-9817</t>
  </si>
  <si>
    <t>Henry Davis</t>
  </si>
  <si>
    <t>Conference Table</t>
  </si>
  <si>
    <t>ORD-10045</t>
  </si>
  <si>
    <t>C-9098</t>
  </si>
  <si>
    <t>Frank Williams</t>
  </si>
  <si>
    <t>MacBook Pro</t>
  </si>
  <si>
    <t>ORD-10046</t>
  </si>
  <si>
    <t>C-7658</t>
  </si>
  <si>
    <t>Corner Bookcase</t>
  </si>
  <si>
    <t>ORD-10047</t>
  </si>
  <si>
    <t>C-7046</t>
  </si>
  <si>
    <t>Henry Garcia</t>
  </si>
  <si>
    <t>ORD-10048</t>
  </si>
  <si>
    <t>C-9779</t>
  </si>
  <si>
    <t>Carol Brown</t>
  </si>
  <si>
    <t>ORD-10049</t>
  </si>
  <si>
    <t>C-1231</t>
  </si>
  <si>
    <t>Iris Williams</t>
  </si>
  <si>
    <t>ORD-10050</t>
  </si>
  <si>
    <t>C-6582</t>
  </si>
  <si>
    <t>Carol Smith</t>
  </si>
  <si>
    <t>ORD-10051</t>
  </si>
  <si>
    <t>C-5978</t>
  </si>
  <si>
    <t>Lamp Set</t>
  </si>
  <si>
    <t>ORD-10052</t>
  </si>
  <si>
    <t>C-1986</t>
  </si>
  <si>
    <t>ORD-10053</t>
  </si>
  <si>
    <t>C-8381</t>
  </si>
  <si>
    <t>Jack Davis</t>
  </si>
  <si>
    <t>ORD-10054</t>
  </si>
  <si>
    <t>C-9922</t>
  </si>
  <si>
    <t>David Williams</t>
  </si>
  <si>
    <t>ORD-10055</t>
  </si>
  <si>
    <t>C-5982</t>
  </si>
  <si>
    <t>New York</t>
  </si>
  <si>
    <t>ORD-10056</t>
  </si>
  <si>
    <t>C-1339</t>
  </si>
  <si>
    <t>Eve Smith</t>
  </si>
  <si>
    <t>Presentation Binder</t>
  </si>
  <si>
    <t>ORD-10057</t>
  </si>
  <si>
    <t>C-6460</t>
  </si>
  <si>
    <t>Frank Johnson</t>
  </si>
  <si>
    <t>Mini Fridge</t>
  </si>
  <si>
    <t>ORD-10058</t>
  </si>
  <si>
    <t>C-2899</t>
  </si>
  <si>
    <t>ORD-10059</t>
  </si>
  <si>
    <t>C-9998</t>
  </si>
  <si>
    <t>ORD-10060</t>
  </si>
  <si>
    <t>C-2527</t>
  </si>
  <si>
    <t>ORD-10061</t>
  </si>
  <si>
    <t>C-3369</t>
  </si>
  <si>
    <t>Grace Brown</t>
  </si>
  <si>
    <t>ORD-10062</t>
  </si>
  <si>
    <t>C-9022</t>
  </si>
  <si>
    <t>ORD-10063</t>
  </si>
  <si>
    <t>C-4826</t>
  </si>
  <si>
    <t>ORD-10064</t>
  </si>
  <si>
    <t>C-8213</t>
  </si>
  <si>
    <t>Bob Davis</t>
  </si>
  <si>
    <t>ORD-10065</t>
  </si>
  <si>
    <t>C-6383</t>
  </si>
  <si>
    <t>Iris Martinez</t>
  </si>
  <si>
    <t>ORD-10066</t>
  </si>
  <si>
    <t>ORD-10067</t>
  </si>
  <si>
    <t>C-7751</t>
  </si>
  <si>
    <t>Jack Williams</t>
  </si>
  <si>
    <t>Chairs</t>
  </si>
  <si>
    <t>Executive Chair</t>
  </si>
  <si>
    <t>ORD-10068</t>
  </si>
  <si>
    <t>C-8529</t>
  </si>
  <si>
    <t>ORD-10069</t>
  </si>
  <si>
    <t>C-4263</t>
  </si>
  <si>
    <t>Grace Davis</t>
  </si>
  <si>
    <t>ORD-10070</t>
  </si>
  <si>
    <t>C-9138</t>
  </si>
  <si>
    <t>Eve Brown</t>
  </si>
  <si>
    <t>ORD-10071</t>
  </si>
  <si>
    <t>C-8222</t>
  </si>
  <si>
    <t>ORD-10072</t>
  </si>
  <si>
    <t>C-5465</t>
  </si>
  <si>
    <t>Standing Desk</t>
  </si>
  <si>
    <t>ORD-10073</t>
  </si>
  <si>
    <t>C-6992</t>
  </si>
  <si>
    <t>Mesh Chair</t>
  </si>
  <si>
    <t>ORD-10074</t>
  </si>
  <si>
    <t>C-4830</t>
  </si>
  <si>
    <t>Filing Cabinet</t>
  </si>
  <si>
    <t>ORD-10075</t>
  </si>
  <si>
    <t>C-1609</t>
  </si>
  <si>
    <t>Eve Davis</t>
  </si>
  <si>
    <t>ORD-10076</t>
  </si>
  <si>
    <t>C-2622</t>
  </si>
  <si>
    <t>Henry Martinez</t>
  </si>
  <si>
    <t>ORD-10077</t>
  </si>
  <si>
    <t>C-6876</t>
  </si>
  <si>
    <t>ORD-10078</t>
  </si>
  <si>
    <t>C-4990</t>
  </si>
  <si>
    <t>ORD-10079</t>
  </si>
  <si>
    <t>C-9850</t>
  </si>
  <si>
    <t>ORD-10080</t>
  </si>
  <si>
    <t>C-7897</t>
  </si>
  <si>
    <t>ORD-10081</t>
  </si>
  <si>
    <t>C-9543</t>
  </si>
  <si>
    <t>ORD-10082</t>
  </si>
  <si>
    <t>C-3430</t>
  </si>
  <si>
    <t>ORD-10083</t>
  </si>
  <si>
    <t>C-2874</t>
  </si>
  <si>
    <t>Storage Bin</t>
  </si>
  <si>
    <t>ORD-10084</t>
  </si>
  <si>
    <t>C-7132</t>
  </si>
  <si>
    <t>ORD-10085</t>
  </si>
  <si>
    <t>C-7730</t>
  </si>
  <si>
    <t>ORD-10086</t>
  </si>
  <si>
    <t>C-7022</t>
  </si>
  <si>
    <t>Bob Jones</t>
  </si>
  <si>
    <t>A4 Ream</t>
  </si>
  <si>
    <t>ORD-10087</t>
  </si>
  <si>
    <t>C-6751</t>
  </si>
  <si>
    <t>Alice Williams</t>
  </si>
  <si>
    <t>ORD-10088</t>
  </si>
  <si>
    <t>C-3578</t>
  </si>
  <si>
    <t>Frank Jones</t>
  </si>
  <si>
    <t>ORD-10089</t>
  </si>
  <si>
    <t>C-8242</t>
  </si>
  <si>
    <t>ORD-10090</t>
  </si>
  <si>
    <t>C-7475</t>
  </si>
  <si>
    <t>ORD-10091</t>
  </si>
  <si>
    <t>C-7229</t>
  </si>
  <si>
    <t>ORD-10092</t>
  </si>
  <si>
    <t>C-8033</t>
  </si>
  <si>
    <t>ORD-10093</t>
  </si>
  <si>
    <t>C-6928</t>
  </si>
  <si>
    <t>ORD-10094</t>
  </si>
  <si>
    <t>C-2868</t>
  </si>
  <si>
    <t>ORD-10095</t>
  </si>
  <si>
    <t>C-9095</t>
  </si>
  <si>
    <t>ORD-10096</t>
  </si>
  <si>
    <t>C-6766</t>
  </si>
  <si>
    <t>ORD-10097</t>
  </si>
  <si>
    <t>C-1672</t>
  </si>
  <si>
    <t>ORD-10098</t>
  </si>
  <si>
    <t>C-8172</t>
  </si>
  <si>
    <t>Henry Williams</t>
  </si>
  <si>
    <t>ORD-10099</t>
  </si>
  <si>
    <t>C-7333</t>
  </si>
  <si>
    <t>Eve Jones</t>
  </si>
  <si>
    <t>Folding Chair</t>
  </si>
  <si>
    <t>ORD-10100</t>
  </si>
  <si>
    <t>C-2388</t>
  </si>
  <si>
    <t>ORD-10101</t>
  </si>
  <si>
    <t>C-3953</t>
  </si>
  <si>
    <t>David Garcia</t>
  </si>
  <si>
    <t>Ring Binder</t>
  </si>
  <si>
    <t>ORD-10102</t>
  </si>
  <si>
    <t>C-3147</t>
  </si>
  <si>
    <t>ORD-10103</t>
  </si>
  <si>
    <t>C-5668</t>
  </si>
  <si>
    <t>ORD-10104</t>
  </si>
  <si>
    <t>C-4271</t>
  </si>
  <si>
    <t>ORD-10105</t>
  </si>
  <si>
    <t>C-9410</t>
  </si>
  <si>
    <t>Carol Martinez</t>
  </si>
  <si>
    <t>ORD-10106</t>
  </si>
  <si>
    <t>C-7142</t>
  </si>
  <si>
    <t>David Smith</t>
  </si>
  <si>
    <t>ORD-10107</t>
  </si>
  <si>
    <t>C-1086</t>
  </si>
  <si>
    <t>Bob Smith</t>
  </si>
  <si>
    <t>ORD-10108</t>
  </si>
  <si>
    <t>C-8489</t>
  </si>
  <si>
    <t>Bob Johnson</t>
  </si>
  <si>
    <t>ORD-10109</t>
  </si>
  <si>
    <t>C-4068</t>
  </si>
  <si>
    <t>Bob Garcia</t>
  </si>
  <si>
    <t>ORD-10110</t>
  </si>
  <si>
    <t>C-6649</t>
  </si>
  <si>
    <t>ORD-10111</t>
  </si>
  <si>
    <t>C-8840</t>
  </si>
  <si>
    <t>ORD-10112</t>
  </si>
  <si>
    <t>C-9897</t>
  </si>
  <si>
    <t>ORD-10113</t>
  </si>
  <si>
    <t>C-8204</t>
  </si>
  <si>
    <t>ORD-10114</t>
  </si>
  <si>
    <t>C-6262</t>
  </si>
  <si>
    <t>ORD-10115</t>
  </si>
  <si>
    <t>C-6776</t>
  </si>
  <si>
    <t>ORD-10116</t>
  </si>
  <si>
    <t>C-3339</t>
  </si>
  <si>
    <t>ORD-10117</t>
  </si>
  <si>
    <t>C-7077</t>
  </si>
  <si>
    <t>ORD-10118</t>
  </si>
  <si>
    <t>C-7340</t>
  </si>
  <si>
    <t>ORD-10119</t>
  </si>
  <si>
    <t>C-8406</t>
  </si>
  <si>
    <t>ORD-10120</t>
  </si>
  <si>
    <t>C-9335</t>
  </si>
  <si>
    <t>ORD-10121</t>
  </si>
  <si>
    <t>C-2412</t>
  </si>
  <si>
    <t>ORD-10122</t>
  </si>
  <si>
    <t>C-9476</t>
  </si>
  <si>
    <t>ORD-10123</t>
  </si>
  <si>
    <t>C-4694</t>
  </si>
  <si>
    <t>ORD-10124</t>
  </si>
  <si>
    <t>C-3526</t>
  </si>
  <si>
    <t>Carol Garcia</t>
  </si>
  <si>
    <t>ORD-10125</t>
  </si>
  <si>
    <t>C-1496</t>
  </si>
  <si>
    <t>ORD-10126</t>
  </si>
  <si>
    <t>C-8933</t>
  </si>
  <si>
    <t>ORD-10127</t>
  </si>
  <si>
    <t>C-8642</t>
  </si>
  <si>
    <t>ORD-10128</t>
  </si>
  <si>
    <t>C-6123</t>
  </si>
  <si>
    <t>Whiteboard</t>
  </si>
  <si>
    <t>ORD-10129</t>
  </si>
  <si>
    <t>C-6781</t>
  </si>
  <si>
    <t>ORD-10130</t>
  </si>
  <si>
    <t>C-6995</t>
  </si>
  <si>
    <t>ORD-10131</t>
  </si>
  <si>
    <t>C-2946</t>
  </si>
  <si>
    <t>Carol Johnson</t>
  </si>
  <si>
    <t>ORD-10132</t>
  </si>
  <si>
    <t>C-8761</t>
  </si>
  <si>
    <t>ORD-10133</t>
  </si>
  <si>
    <t>C-9311</t>
  </si>
  <si>
    <t>ORD-10134</t>
  </si>
  <si>
    <t>C-1436</t>
  </si>
  <si>
    <t>ORD-10135</t>
  </si>
  <si>
    <t>C-4968</t>
  </si>
  <si>
    <t>ORD-10136</t>
  </si>
  <si>
    <t>C-2020</t>
  </si>
  <si>
    <t>ORD-10137</t>
  </si>
  <si>
    <t>C-4150</t>
  </si>
  <si>
    <t>David Jones</t>
  </si>
  <si>
    <t>ORD-10138</t>
  </si>
  <si>
    <t>C-5480</t>
  </si>
  <si>
    <t>Eve Johnson</t>
  </si>
  <si>
    <t>ORD-10139</t>
  </si>
  <si>
    <t>C-8247</t>
  </si>
  <si>
    <t>ORD-10140</t>
  </si>
  <si>
    <t>C-1860</t>
  </si>
  <si>
    <t>ORD-10141</t>
  </si>
  <si>
    <t>C-4267</t>
  </si>
  <si>
    <t>ORD-10142</t>
  </si>
  <si>
    <t>C-3880</t>
  </si>
  <si>
    <t>ORD-10143</t>
  </si>
  <si>
    <t>C-3198</t>
  </si>
  <si>
    <t>ORD-10144</t>
  </si>
  <si>
    <t>C-5833</t>
  </si>
  <si>
    <t>Jack Brown</t>
  </si>
  <si>
    <t>ORD-10145</t>
  </si>
  <si>
    <t>C-5064</t>
  </si>
  <si>
    <t>Alice Jones</t>
  </si>
  <si>
    <t>ORD-10146</t>
  </si>
  <si>
    <t>C-8625</t>
  </si>
  <si>
    <t>ORD-10147</t>
  </si>
  <si>
    <t>C-8454</t>
  </si>
  <si>
    <t>Jack Garcia</t>
  </si>
  <si>
    <t>ORD-10148</t>
  </si>
  <si>
    <t>C-2838</t>
  </si>
  <si>
    <t>Alice Brown</t>
  </si>
  <si>
    <t>ORD-10149</t>
  </si>
  <si>
    <t>C-9361</t>
  </si>
  <si>
    <t>ORD-10150</t>
  </si>
  <si>
    <t>C-1049</t>
  </si>
  <si>
    <t>ORD-10151</t>
  </si>
  <si>
    <t>C-7887</t>
  </si>
  <si>
    <t>ORD-10152</t>
  </si>
  <si>
    <t>C-4648</t>
  </si>
  <si>
    <t>ORD-10153</t>
  </si>
  <si>
    <t>C-7868</t>
  </si>
  <si>
    <t>ORD-10154</t>
  </si>
  <si>
    <t>C-4839</t>
  </si>
  <si>
    <t>ORD-10155</t>
  </si>
  <si>
    <t>C-3347</t>
  </si>
  <si>
    <t>ORD-10156</t>
  </si>
  <si>
    <t>C-7244</t>
  </si>
  <si>
    <t>Iris Garcia</t>
  </si>
  <si>
    <t>ORD-10157</t>
  </si>
  <si>
    <t>C-3365</t>
  </si>
  <si>
    <t>ORD-10158</t>
  </si>
  <si>
    <t>C-2514</t>
  </si>
  <si>
    <t>ORD-10159</t>
  </si>
  <si>
    <t>C-1251</t>
  </si>
  <si>
    <t>David Brown</t>
  </si>
  <si>
    <t>ORD-10160</t>
  </si>
  <si>
    <t>C-9743</t>
  </si>
  <si>
    <t>ORD-10161</t>
  </si>
  <si>
    <t>C-4625</t>
  </si>
  <si>
    <t>ORD-10162</t>
  </si>
  <si>
    <t>C-6530</t>
  </si>
  <si>
    <t>ORD-10163</t>
  </si>
  <si>
    <t>C-9882</t>
  </si>
  <si>
    <t>ORD-10164</t>
  </si>
  <si>
    <t>C-8916</t>
  </si>
  <si>
    <t>ORD-10165</t>
  </si>
  <si>
    <t>C-3937</t>
  </si>
  <si>
    <t>ORD-10166</t>
  </si>
  <si>
    <t>C-7652</t>
  </si>
  <si>
    <t>ORD-10167</t>
  </si>
  <si>
    <t>C-1154</t>
  </si>
  <si>
    <t>ORD-10168</t>
  </si>
  <si>
    <t>C-2218</t>
  </si>
  <si>
    <t>ORD-10169</t>
  </si>
  <si>
    <t>C-4939</t>
  </si>
  <si>
    <t>ORD-10170</t>
  </si>
  <si>
    <t>C-2245</t>
  </si>
  <si>
    <t>ORD-10171</t>
  </si>
  <si>
    <t>C-5839</t>
  </si>
  <si>
    <t>ORD-10172</t>
  </si>
  <si>
    <t>C-6050</t>
  </si>
  <si>
    <t>ORD-10173</t>
  </si>
  <si>
    <t>C-6798</t>
  </si>
  <si>
    <t>ORD-10174</t>
  </si>
  <si>
    <t>C-3778</t>
  </si>
  <si>
    <t>ORD-10175</t>
  </si>
  <si>
    <t>C-2260</t>
  </si>
  <si>
    <t>ORD-10176</t>
  </si>
  <si>
    <t>C-7224</t>
  </si>
  <si>
    <t>ORD-10177</t>
  </si>
  <si>
    <t>C-5775</t>
  </si>
  <si>
    <t>ORD-10178</t>
  </si>
  <si>
    <t>C-8563</t>
  </si>
  <si>
    <t>ORD-10179</t>
  </si>
  <si>
    <t>C-7176</t>
  </si>
  <si>
    <t>ORD-10180</t>
  </si>
  <si>
    <t>C-5067</t>
  </si>
  <si>
    <t>ORD-10181</t>
  </si>
  <si>
    <t>C-7408</t>
  </si>
  <si>
    <t>ORD-10182</t>
  </si>
  <si>
    <t>C-4389</t>
  </si>
  <si>
    <t>ORD-10183</t>
  </si>
  <si>
    <t>C-6620</t>
  </si>
  <si>
    <t>ORD-10184</t>
  </si>
  <si>
    <t>C-8080</t>
  </si>
  <si>
    <t>ORD-10185</t>
  </si>
  <si>
    <t>C-9796</t>
  </si>
  <si>
    <t>ORD-10186</t>
  </si>
  <si>
    <t>C-6700</t>
  </si>
  <si>
    <t>ORD-10187</t>
  </si>
  <si>
    <t>C-3316</t>
  </si>
  <si>
    <t>ORD-10188</t>
  </si>
  <si>
    <t>ORD-10189</t>
  </si>
  <si>
    <t>C-9056</t>
  </si>
  <si>
    <t>ORD-10190</t>
  </si>
  <si>
    <t>C-9115</t>
  </si>
  <si>
    <t>ORD-10191</t>
  </si>
  <si>
    <t>C-5055</t>
  </si>
  <si>
    <t>ORD-10192</t>
  </si>
  <si>
    <t>C-3281</t>
  </si>
  <si>
    <t>ORD-10193</t>
  </si>
  <si>
    <t>C-9428</t>
  </si>
  <si>
    <t>ORD-10194</t>
  </si>
  <si>
    <t>C-5402</t>
  </si>
  <si>
    <t>ORD-10195</t>
  </si>
  <si>
    <t>C-1040</t>
  </si>
  <si>
    <t>ORD-10196</t>
  </si>
  <si>
    <t>C-6533</t>
  </si>
  <si>
    <t>ORD-10197</t>
  </si>
  <si>
    <t>C-1011</t>
  </si>
  <si>
    <t>ORD-10198</t>
  </si>
  <si>
    <t>C-6005</t>
  </si>
  <si>
    <t>David Martinez</t>
  </si>
  <si>
    <t>ORD-10199</t>
  </si>
  <si>
    <t>C-6629</t>
  </si>
  <si>
    <t>ORD-10200</t>
  </si>
  <si>
    <t>C-3246</t>
  </si>
  <si>
    <t>ORD-10201</t>
  </si>
  <si>
    <t>C-3480</t>
  </si>
  <si>
    <t>ORD-10202</t>
  </si>
  <si>
    <t>C-2380</t>
  </si>
  <si>
    <t>ORD-10203</t>
  </si>
  <si>
    <t>C-4921</t>
  </si>
  <si>
    <t>ORD-10204</t>
  </si>
  <si>
    <t>C-3830</t>
  </si>
  <si>
    <t>ORD-10205</t>
  </si>
  <si>
    <t>C-7590</t>
  </si>
  <si>
    <t>ORD-10206</t>
  </si>
  <si>
    <t>C-8167</t>
  </si>
  <si>
    <t>ORD-10207</t>
  </si>
  <si>
    <t>C-3684</t>
  </si>
  <si>
    <t>ORD-10208</t>
  </si>
  <si>
    <t>C-8034</t>
  </si>
  <si>
    <t>ORD-10209</t>
  </si>
  <si>
    <t>C-5179</t>
  </si>
  <si>
    <t>ORD-10210</t>
  </si>
  <si>
    <t>C-1579</t>
  </si>
  <si>
    <t>ORD-10211</t>
  </si>
  <si>
    <t>C-9450</t>
  </si>
  <si>
    <t>ORD-10212</t>
  </si>
  <si>
    <t>C-4974</t>
  </si>
  <si>
    <t>ORD-10213</t>
  </si>
  <si>
    <t>C-1023</t>
  </si>
  <si>
    <t>ORD-10214</t>
  </si>
  <si>
    <t>C-9515</t>
  </si>
  <si>
    <t>ORD-10215</t>
  </si>
  <si>
    <t>C-3141</t>
  </si>
  <si>
    <t>ORD-10216</t>
  </si>
  <si>
    <t>C-3230</t>
  </si>
  <si>
    <t>ORD-10217</t>
  </si>
  <si>
    <t>C-8591</t>
  </si>
  <si>
    <t>ORD-10218</t>
  </si>
  <si>
    <t>C-5896</t>
  </si>
  <si>
    <t>ORD-10219</t>
  </si>
  <si>
    <t>C-7563</t>
  </si>
  <si>
    <t>ORD-10220</t>
  </si>
  <si>
    <t>C-6432</t>
  </si>
  <si>
    <t>ORD-10221</t>
  </si>
  <si>
    <t>C-4066</t>
  </si>
  <si>
    <t>ORD-10222</t>
  </si>
  <si>
    <t>C-3248</t>
  </si>
  <si>
    <t>ORD-10223</t>
  </si>
  <si>
    <t>C-9231</t>
  </si>
  <si>
    <t>ORD-10224</t>
  </si>
  <si>
    <t>C-4813</t>
  </si>
  <si>
    <t>ORD-10225</t>
  </si>
  <si>
    <t>C-3846</t>
  </si>
  <si>
    <t>ORD-10226</t>
  </si>
  <si>
    <t>C-9064</t>
  </si>
  <si>
    <t>Iris Jones</t>
  </si>
  <si>
    <t>ORD-10227</t>
  </si>
  <si>
    <t>C-4300</t>
  </si>
  <si>
    <t>ORD-10228</t>
  </si>
  <si>
    <t>C-7481</t>
  </si>
  <si>
    <t>ORD-10229</t>
  </si>
  <si>
    <t>C-6846</t>
  </si>
  <si>
    <t>ORD-10230</t>
  </si>
  <si>
    <t>C-6213</t>
  </si>
  <si>
    <t>ORD-10231</t>
  </si>
  <si>
    <t>C-2453</t>
  </si>
  <si>
    <t>ORD-10232</t>
  </si>
  <si>
    <t>C-7875</t>
  </si>
  <si>
    <t>ORD-10233</t>
  </si>
  <si>
    <t>C-6221</t>
  </si>
  <si>
    <t>ORD-10234</t>
  </si>
  <si>
    <t>C-8066</t>
  </si>
  <si>
    <t>ORD-10235</t>
  </si>
  <si>
    <t>C-5872</t>
  </si>
  <si>
    <t>ORD-10236</t>
  </si>
  <si>
    <t>C-1421</t>
  </si>
  <si>
    <t>ORD-10237</t>
  </si>
  <si>
    <t>C-9914</t>
  </si>
  <si>
    <t>ORD-10238</t>
  </si>
  <si>
    <t>C-3476</t>
  </si>
  <si>
    <t>ORD-10239</t>
  </si>
  <si>
    <t>C-4860</t>
  </si>
  <si>
    <t>ORD-10240</t>
  </si>
  <si>
    <t>C-2283</t>
  </si>
  <si>
    <t>ORD-10241</t>
  </si>
  <si>
    <t>C-9514</t>
  </si>
  <si>
    <t>ORD-10242</t>
  </si>
  <si>
    <t>ORD-10243</t>
  </si>
  <si>
    <t>C-7581</t>
  </si>
  <si>
    <t>ORD-10244</t>
  </si>
  <si>
    <t>C-9054</t>
  </si>
  <si>
    <t>ORD-10245</t>
  </si>
  <si>
    <t>C-7671</t>
  </si>
  <si>
    <t>ORD-10246</t>
  </si>
  <si>
    <t>C-4288</t>
  </si>
  <si>
    <t>ORD-10247</t>
  </si>
  <si>
    <t>C-4963</t>
  </si>
  <si>
    <t>ORD-10248</t>
  </si>
  <si>
    <t>C-2480</t>
  </si>
  <si>
    <t>ORD-10249</t>
  </si>
  <si>
    <t>C-1145</t>
  </si>
  <si>
    <t>ORD-10250</t>
  </si>
  <si>
    <t>C-8520</t>
  </si>
  <si>
    <t>ORD-10251</t>
  </si>
  <si>
    <t>C-8892</t>
  </si>
  <si>
    <t>ORD-10252</t>
  </si>
  <si>
    <t>C-7620</t>
  </si>
  <si>
    <t>ORD-10253</t>
  </si>
  <si>
    <t>C-4643</t>
  </si>
  <si>
    <t>ORD-10254</t>
  </si>
  <si>
    <t>C-3999</t>
  </si>
  <si>
    <t>ORD-10255</t>
  </si>
  <si>
    <t>C-2166</t>
  </si>
  <si>
    <t>ORD-10256</t>
  </si>
  <si>
    <t>C-3954</t>
  </si>
  <si>
    <t>ORD-10257</t>
  </si>
  <si>
    <t>C-3595</t>
  </si>
  <si>
    <t>ORD-10258</t>
  </si>
  <si>
    <t>C-1230</t>
  </si>
  <si>
    <t>ORD-10259</t>
  </si>
  <si>
    <t>C-1749</t>
  </si>
  <si>
    <t>ORD-10260</t>
  </si>
  <si>
    <t>C-7609</t>
  </si>
  <si>
    <t>ORD-10261</t>
  </si>
  <si>
    <t>C-5190</t>
  </si>
  <si>
    <t>ORD-10262</t>
  </si>
  <si>
    <t>C-3508</t>
  </si>
  <si>
    <t>ORD-10263</t>
  </si>
  <si>
    <t>C-2741</t>
  </si>
  <si>
    <t>ORD-10264</t>
  </si>
  <si>
    <t>C-8875</t>
  </si>
  <si>
    <t>ORD-10265</t>
  </si>
  <si>
    <t>C-2659</t>
  </si>
  <si>
    <t>ORD-10266</t>
  </si>
  <si>
    <t>C-2898</t>
  </si>
  <si>
    <t>ORD-10267</t>
  </si>
  <si>
    <t>C-6615</t>
  </si>
  <si>
    <t>ORD-10268</t>
  </si>
  <si>
    <t>C-3611</t>
  </si>
  <si>
    <t>ORD-10269</t>
  </si>
  <si>
    <t>C-8997</t>
  </si>
  <si>
    <t>ORD-10270</t>
  </si>
  <si>
    <t>C-6542</t>
  </si>
  <si>
    <t>ORD-10271</t>
  </si>
  <si>
    <t>C-3571</t>
  </si>
  <si>
    <t>ORD-10272</t>
  </si>
  <si>
    <t>C-7203</t>
  </si>
  <si>
    <t>ORD-10273</t>
  </si>
  <si>
    <t>C-7755</t>
  </si>
  <si>
    <t>ORD-10274</t>
  </si>
  <si>
    <t>C-6439</t>
  </si>
  <si>
    <t>ORD-10275</t>
  </si>
  <si>
    <t>C-7125</t>
  </si>
  <si>
    <t>ORD-10276</t>
  </si>
  <si>
    <t>C-4122</t>
  </si>
  <si>
    <t>ORD-10277</t>
  </si>
  <si>
    <t>C-8091</t>
  </si>
  <si>
    <t>ORD-10278</t>
  </si>
  <si>
    <t>C-7302</t>
  </si>
  <si>
    <t>ORD-10279</t>
  </si>
  <si>
    <t>C-9975</t>
  </si>
  <si>
    <t>ORD-10280</t>
  </si>
  <si>
    <t>C-6771</t>
  </si>
  <si>
    <t>ORD-10281</t>
  </si>
  <si>
    <t>C-3636</t>
  </si>
  <si>
    <t>ORD-10282</t>
  </si>
  <si>
    <t>C-7371</t>
  </si>
  <si>
    <t>ORD-10283</t>
  </si>
  <si>
    <t>C-8259</t>
  </si>
  <si>
    <t>ORD-10284</t>
  </si>
  <si>
    <t>C-2955</t>
  </si>
  <si>
    <t>ORD-10285</t>
  </si>
  <si>
    <t>C-6285</t>
  </si>
  <si>
    <t>ORD-10286</t>
  </si>
  <si>
    <t>C-9276</t>
  </si>
  <si>
    <t>ORD-10287</t>
  </si>
  <si>
    <t>C-9691</t>
  </si>
  <si>
    <t>ORD-10288</t>
  </si>
  <si>
    <t>C-9851</t>
  </si>
  <si>
    <t>ORD-10289</t>
  </si>
  <si>
    <t>C-3742</t>
  </si>
  <si>
    <t>ORD-10290</t>
  </si>
  <si>
    <t>C-2181</t>
  </si>
  <si>
    <t>ORD-10291</t>
  </si>
  <si>
    <t>C-7678</t>
  </si>
  <si>
    <t>ORD-10292</t>
  </si>
  <si>
    <t>C-1745</t>
  </si>
  <si>
    <t>ORD-10293</t>
  </si>
  <si>
    <t>C-9740</t>
  </si>
  <si>
    <t>ORD-10294</t>
  </si>
  <si>
    <t>C-1082</t>
  </si>
  <si>
    <t>ORD-10295</t>
  </si>
  <si>
    <t>C-4617</t>
  </si>
  <si>
    <t>Jack Jones</t>
  </si>
  <si>
    <t>ORD-10296</t>
  </si>
  <si>
    <t>C-8982</t>
  </si>
  <si>
    <t>ORD-10297</t>
  </si>
  <si>
    <t>C-6008</t>
  </si>
  <si>
    <t>ORD-10298</t>
  </si>
  <si>
    <t>C-6889</t>
  </si>
  <si>
    <t>ORD-10299</t>
  </si>
  <si>
    <t>C-3293</t>
  </si>
  <si>
    <t>ORD-10300</t>
  </si>
  <si>
    <t>C-5269</t>
  </si>
  <si>
    <t>ORD-10301</t>
  </si>
  <si>
    <t>C-9227</t>
  </si>
  <si>
    <t>ORD-10302</t>
  </si>
  <si>
    <t>C-8921</t>
  </si>
  <si>
    <t>Frank Smith</t>
  </si>
  <si>
    <t>ORD-10303</t>
  </si>
  <si>
    <t>C-8448</t>
  </si>
  <si>
    <t>ORD-10304</t>
  </si>
  <si>
    <t>C-7165</t>
  </si>
  <si>
    <t>ORD-10305</t>
  </si>
  <si>
    <t>C-5600</t>
  </si>
  <si>
    <t>ORD-10306</t>
  </si>
  <si>
    <t>C-3641</t>
  </si>
  <si>
    <t>ORD-10307</t>
  </si>
  <si>
    <t>C-9464</t>
  </si>
  <si>
    <t>ORD-10308</t>
  </si>
  <si>
    <t>C-3979</t>
  </si>
  <si>
    <t>ORD-10309</t>
  </si>
  <si>
    <t>C-9564</t>
  </si>
  <si>
    <t>ORD-10310</t>
  </si>
  <si>
    <t>C-3135</t>
  </si>
  <si>
    <t>ORD-10311</t>
  </si>
  <si>
    <t>C-2600</t>
  </si>
  <si>
    <t>ORD-10312</t>
  </si>
  <si>
    <t>C-2930</t>
  </si>
  <si>
    <t>ORD-10313</t>
  </si>
  <si>
    <t>C-9783</t>
  </si>
  <si>
    <t>ORD-10314</t>
  </si>
  <si>
    <t>C-6024</t>
  </si>
  <si>
    <t>ORD-10315</t>
  </si>
  <si>
    <t>C-1852</t>
  </si>
  <si>
    <t>ORD-10316</t>
  </si>
  <si>
    <t>C-1618</t>
  </si>
  <si>
    <t>ORD-10317</t>
  </si>
  <si>
    <t>C-9364</t>
  </si>
  <si>
    <t>ORD-10318</t>
  </si>
  <si>
    <t>C-7474</t>
  </si>
  <si>
    <t>ORD-10319</t>
  </si>
  <si>
    <t>C-7618</t>
  </si>
  <si>
    <t>ORD-10320</t>
  </si>
  <si>
    <t>C-5098</t>
  </si>
  <si>
    <t>ORD-10321</t>
  </si>
  <si>
    <t>C-4610</t>
  </si>
  <si>
    <t>ORD-10322</t>
  </si>
  <si>
    <t>C-6792</t>
  </si>
  <si>
    <t>ORD-10323</t>
  </si>
  <si>
    <t>C-5091</t>
  </si>
  <si>
    <t>ORD-10324</t>
  </si>
  <si>
    <t>C-7081</t>
  </si>
  <si>
    <t>ORD-10325</t>
  </si>
  <si>
    <t>C-7933</t>
  </si>
  <si>
    <t>ORD-10326</t>
  </si>
  <si>
    <t>C-2650</t>
  </si>
  <si>
    <t>ORD-10327</t>
  </si>
  <si>
    <t>C-9171</t>
  </si>
  <si>
    <t>ORD-10328</t>
  </si>
  <si>
    <t>C-5422</t>
  </si>
  <si>
    <t>ORD-10329</t>
  </si>
  <si>
    <t>C-5915</t>
  </si>
  <si>
    <t>ORD-10330</t>
  </si>
  <si>
    <t>C-6903</t>
  </si>
  <si>
    <t>ORD-10331</t>
  </si>
  <si>
    <t>C-5663</t>
  </si>
  <si>
    <t>ORD-10332</t>
  </si>
  <si>
    <t>C-7631</t>
  </si>
  <si>
    <t>ORD-10333</t>
  </si>
  <si>
    <t>C-8289</t>
  </si>
  <si>
    <t>ORD-10334</t>
  </si>
  <si>
    <t>C-7505</t>
  </si>
  <si>
    <t>ORD-10335</t>
  </si>
  <si>
    <t>C-7387</t>
  </si>
  <si>
    <t>ORD-10336</t>
  </si>
  <si>
    <t>C-6328</t>
  </si>
  <si>
    <t>ORD-10337</t>
  </si>
  <si>
    <t>C-9745</t>
  </si>
  <si>
    <t>ORD-10338</t>
  </si>
  <si>
    <t>C-3233</t>
  </si>
  <si>
    <t>ORD-10339</t>
  </si>
  <si>
    <t>C-4089</t>
  </si>
  <si>
    <t>ORD-10340</t>
  </si>
  <si>
    <t>C-9715</t>
  </si>
  <si>
    <t>ORD-10341</t>
  </si>
  <si>
    <t>C-9060</t>
  </si>
  <si>
    <t>ORD-10342</t>
  </si>
  <si>
    <t>C-3468</t>
  </si>
  <si>
    <t>ORD-10343</t>
  </si>
  <si>
    <t>C-7429</t>
  </si>
  <si>
    <t>ORD-10344</t>
  </si>
  <si>
    <t>C-2539</t>
  </si>
  <si>
    <t>ORD-10345</t>
  </si>
  <si>
    <t>C-5895</t>
  </si>
  <si>
    <t>ORD-10346</t>
  </si>
  <si>
    <t>C-7484</t>
  </si>
  <si>
    <t>ORD-10347</t>
  </si>
  <si>
    <t>C-1983</t>
  </si>
  <si>
    <t>ORD-10348</t>
  </si>
  <si>
    <t>C-1349</t>
  </si>
  <si>
    <t>ORD-10349</t>
  </si>
  <si>
    <t>C-6303</t>
  </si>
  <si>
    <t>ORD-10350</t>
  </si>
  <si>
    <t>C-9289</t>
  </si>
  <si>
    <t>ORD-10351</t>
  </si>
  <si>
    <t>C-9151</t>
  </si>
  <si>
    <t>ORD-10352</t>
  </si>
  <si>
    <t>C-3126</t>
  </si>
  <si>
    <t>ORD-10353</t>
  </si>
  <si>
    <t>C-4616</t>
  </si>
  <si>
    <t>ORD-10354</t>
  </si>
  <si>
    <t>C-1955</t>
  </si>
  <si>
    <t>ORD-10355</t>
  </si>
  <si>
    <t>C-5075</t>
  </si>
  <si>
    <t>ORD-10356</t>
  </si>
  <si>
    <t>C-3733</t>
  </si>
  <si>
    <t>ORD-10357</t>
  </si>
  <si>
    <t>C-6299</t>
  </si>
  <si>
    <t>ORD-10358</t>
  </si>
  <si>
    <t>C-1567</t>
  </si>
  <si>
    <t>ORD-10359</t>
  </si>
  <si>
    <t>C-9376</t>
  </si>
  <si>
    <t>ORD-10360</t>
  </si>
  <si>
    <t>C-2505</t>
  </si>
  <si>
    <t>ORD-10361</t>
  </si>
  <si>
    <t>C-5921</t>
  </si>
  <si>
    <t>ORD-10362</t>
  </si>
  <si>
    <t>C-7266</t>
  </si>
  <si>
    <t>ORD-10363</t>
  </si>
  <si>
    <t>C-9269</t>
  </si>
  <si>
    <t>ORD-10364</t>
  </si>
  <si>
    <t>C-7529</t>
  </si>
  <si>
    <t>ORD-10365</t>
  </si>
  <si>
    <t>C-5362</t>
  </si>
  <si>
    <t>ORD-10366</t>
  </si>
  <si>
    <t>C-1396</t>
  </si>
  <si>
    <t>ORD-10367</t>
  </si>
  <si>
    <t>C-1893</t>
  </si>
  <si>
    <t>ORD-10368</t>
  </si>
  <si>
    <t>C-9573</t>
  </si>
  <si>
    <t>ORD-10369</t>
  </si>
  <si>
    <t>C-5444</t>
  </si>
  <si>
    <t>ORD-10370</t>
  </si>
  <si>
    <t>C-7237</t>
  </si>
  <si>
    <t>ORD-10371</t>
  </si>
  <si>
    <t>C-7445</t>
  </si>
  <si>
    <t>ORD-10372</t>
  </si>
  <si>
    <t>C-1482</t>
  </si>
  <si>
    <t>ORD-10373</t>
  </si>
  <si>
    <t>C-3502</t>
  </si>
  <si>
    <t>ORD-10374</t>
  </si>
  <si>
    <t>C-6062</t>
  </si>
  <si>
    <t>ORD-10375</t>
  </si>
  <si>
    <t>ORD-10376</t>
  </si>
  <si>
    <t>C-4783</t>
  </si>
  <si>
    <t>ORD-10377</t>
  </si>
  <si>
    <t>C-7126</t>
  </si>
  <si>
    <t>ORD-10378</t>
  </si>
  <si>
    <t>C-4323</t>
  </si>
  <si>
    <t>ORD-10379</t>
  </si>
  <si>
    <t>C-7457</t>
  </si>
  <si>
    <t>ORD-10380</t>
  </si>
  <si>
    <t>C-8201</t>
  </si>
  <si>
    <t>ORD-10381</t>
  </si>
  <si>
    <t>C-8400</t>
  </si>
  <si>
    <t>ORD-10382</t>
  </si>
  <si>
    <t>C-2477</t>
  </si>
  <si>
    <t>ORD-10383</t>
  </si>
  <si>
    <t>C-9383</t>
  </si>
  <si>
    <t>ORD-10384</t>
  </si>
  <si>
    <t>C-6071</t>
  </si>
  <si>
    <t>ORD-10385</t>
  </si>
  <si>
    <t>C-1094</t>
  </si>
  <si>
    <t>ORD-10386</t>
  </si>
  <si>
    <t>C-4401</t>
  </si>
  <si>
    <t>ORD-10387</t>
  </si>
  <si>
    <t>C-3643</t>
  </si>
  <si>
    <t>ORD-10388</t>
  </si>
  <si>
    <t>C-2063</t>
  </si>
  <si>
    <t>ORD-10389</t>
  </si>
  <si>
    <t>C-9666</t>
  </si>
  <si>
    <t>ORD-10390</t>
  </si>
  <si>
    <t>C-9132</t>
  </si>
  <si>
    <t>ORD-10391</t>
  </si>
  <si>
    <t>C-4396</t>
  </si>
  <si>
    <t>ORD-10392</t>
  </si>
  <si>
    <t>C-6042</t>
  </si>
  <si>
    <t>ORD-10393</t>
  </si>
  <si>
    <t>C-8849</t>
  </si>
  <si>
    <t>ORD-10394</t>
  </si>
  <si>
    <t>C-5904</t>
  </si>
  <si>
    <t>ORD-10395</t>
  </si>
  <si>
    <t>C-6556</t>
  </si>
  <si>
    <t>ORD-10396</t>
  </si>
  <si>
    <t>C-9143</t>
  </si>
  <si>
    <t>ORD-10397</t>
  </si>
  <si>
    <t>C-8270</t>
  </si>
  <si>
    <t>ORD-10398</t>
  </si>
  <si>
    <t>C-9456</t>
  </si>
  <si>
    <t>ORD-10399</t>
  </si>
  <si>
    <t>C-1755</t>
  </si>
  <si>
    <t>ORD-10400</t>
  </si>
  <si>
    <t>C-5467</t>
  </si>
  <si>
    <t>ORD-10401</t>
  </si>
  <si>
    <t>C-3806</t>
  </si>
  <si>
    <t>ORD-10402</t>
  </si>
  <si>
    <t>C-7421</t>
  </si>
  <si>
    <t>ORD-10403</t>
  </si>
  <si>
    <t>C-6085</t>
  </si>
  <si>
    <t>ORD-10404</t>
  </si>
  <si>
    <t>C-1495</t>
  </si>
  <si>
    <t>ORD-10405</t>
  </si>
  <si>
    <t>C-2752</t>
  </si>
  <si>
    <t>ORD-10406</t>
  </si>
  <si>
    <t>ORD-10407</t>
  </si>
  <si>
    <t>C-8584</t>
  </si>
  <si>
    <t>ORD-10408</t>
  </si>
  <si>
    <t>C-2007</t>
  </si>
  <si>
    <t>ORD-10409</t>
  </si>
  <si>
    <t>C-6187</t>
  </si>
  <si>
    <t>ORD-10410</t>
  </si>
  <si>
    <t>C-6885</t>
  </si>
  <si>
    <t>ORD-10411</t>
  </si>
  <si>
    <t>C-8780</t>
  </si>
  <si>
    <t>ORD-10412</t>
  </si>
  <si>
    <t>C-8974</t>
  </si>
  <si>
    <t>ORD-10413</t>
  </si>
  <si>
    <t>C-8373</t>
  </si>
  <si>
    <t>ORD-10414</t>
  </si>
  <si>
    <t>C-1620</t>
  </si>
  <si>
    <t>ORD-10415</t>
  </si>
  <si>
    <t>C-2281</t>
  </si>
  <si>
    <t>ORD-10416</t>
  </si>
  <si>
    <t>C-6431</t>
  </si>
  <si>
    <t>ORD-10417</t>
  </si>
  <si>
    <t>C-1845</t>
  </si>
  <si>
    <t>ORD-10418</t>
  </si>
  <si>
    <t>C-1232</t>
  </si>
  <si>
    <t>ORD-10419</t>
  </si>
  <si>
    <t>C-2382</t>
  </si>
  <si>
    <t>ORD-10420</t>
  </si>
  <si>
    <t>C-5331</t>
  </si>
  <si>
    <t>ORD-10421</t>
  </si>
  <si>
    <t>C-8122</t>
  </si>
  <si>
    <t>ORD-10422</t>
  </si>
  <si>
    <t>C-5375</t>
  </si>
  <si>
    <t>ORD-10423</t>
  </si>
  <si>
    <t>C-3947</t>
  </si>
  <si>
    <t>ORD-10424</t>
  </si>
  <si>
    <t>C-1557</t>
  </si>
  <si>
    <t>ORD-10425</t>
  </si>
  <si>
    <t>C-4018</t>
  </si>
  <si>
    <t>ORD-10426</t>
  </si>
  <si>
    <t>C-7271</t>
  </si>
  <si>
    <t>ORD-10427</t>
  </si>
  <si>
    <t>C-9857</t>
  </si>
  <si>
    <t>ORD-10428</t>
  </si>
  <si>
    <t>C-1307</t>
  </si>
  <si>
    <t>ORD-10429</t>
  </si>
  <si>
    <t>C-9039</t>
  </si>
  <si>
    <t>ORD-10430</t>
  </si>
  <si>
    <t>C-5961</t>
  </si>
  <si>
    <t>ORD-10431</t>
  </si>
  <si>
    <t>C-7294</t>
  </si>
  <si>
    <t>ORD-10432</t>
  </si>
  <si>
    <t>C-4907</t>
  </si>
  <si>
    <t>ORD-10433</t>
  </si>
  <si>
    <t>C-4468</t>
  </si>
  <si>
    <t>ORD-10434</t>
  </si>
  <si>
    <t>C-3138</t>
  </si>
  <si>
    <t>ORD-10435</t>
  </si>
  <si>
    <t>C-4613</t>
  </si>
  <si>
    <t>ORD-10436</t>
  </si>
  <si>
    <t>C-2978</t>
  </si>
  <si>
    <t>ORD-10437</t>
  </si>
  <si>
    <t>C-1256</t>
  </si>
  <si>
    <t>ORD-10438</t>
  </si>
  <si>
    <t>C-5439</t>
  </si>
  <si>
    <t>ORD-10439</t>
  </si>
  <si>
    <t>C-1074</t>
  </si>
  <si>
    <t>ORD-10440</t>
  </si>
  <si>
    <t>C-3444</t>
  </si>
  <si>
    <t>ORD-10441</t>
  </si>
  <si>
    <t>C-1859</t>
  </si>
  <si>
    <t>ORD-10442</t>
  </si>
  <si>
    <t>C-6336</t>
  </si>
  <si>
    <t>ORD-10443</t>
  </si>
  <si>
    <t>C-8141</t>
  </si>
  <si>
    <t>ORD-10444</t>
  </si>
  <si>
    <t>C-3084</t>
  </si>
  <si>
    <t>ORD-10445</t>
  </si>
  <si>
    <t>C-3784</t>
  </si>
  <si>
    <t>ORD-10446</t>
  </si>
  <si>
    <t>C-8114</t>
  </si>
  <si>
    <t>ORD-10447</t>
  </si>
  <si>
    <t>C-2605</t>
  </si>
  <si>
    <t>ORD-10448</t>
  </si>
  <si>
    <t>C-5994</t>
  </si>
  <si>
    <t>ORD-10449</t>
  </si>
  <si>
    <t>C-2158</t>
  </si>
  <si>
    <t>ORD-10450</t>
  </si>
  <si>
    <t>C-1898</t>
  </si>
  <si>
    <t>ORD-10451</t>
  </si>
  <si>
    <t>C-4354</t>
  </si>
  <si>
    <t>ORD-10452</t>
  </si>
  <si>
    <t>C-7929</t>
  </si>
  <si>
    <t>ORD-10453</t>
  </si>
  <si>
    <t>C-7031</t>
  </si>
  <si>
    <t>ORD-10454</t>
  </si>
  <si>
    <t>C-4346</t>
  </si>
  <si>
    <t>ORD-10455</t>
  </si>
  <si>
    <t>C-4806</t>
  </si>
  <si>
    <t>ORD-10456</t>
  </si>
  <si>
    <t>C-5259</t>
  </si>
  <si>
    <t>ORD-10457</t>
  </si>
  <si>
    <t>C-3873</t>
  </si>
  <si>
    <t>ORD-10458</t>
  </si>
  <si>
    <t>C-6633</t>
  </si>
  <si>
    <t>ORD-10459</t>
  </si>
  <si>
    <t>C-9948</t>
  </si>
  <si>
    <t>ORD-10460</t>
  </si>
  <si>
    <t>C-1656</t>
  </si>
  <si>
    <t>ORD-10461</t>
  </si>
  <si>
    <t>C-4639</t>
  </si>
  <si>
    <t>ORD-10462</t>
  </si>
  <si>
    <t>C-6915</t>
  </si>
  <si>
    <t>ORD-10463</t>
  </si>
  <si>
    <t>C-8278</t>
  </si>
  <si>
    <t>ORD-10464</t>
  </si>
  <si>
    <t>C-7156</t>
  </si>
  <si>
    <t>ORD-10465</t>
  </si>
  <si>
    <t>C-7254</t>
  </si>
  <si>
    <t>ORD-10466</t>
  </si>
  <si>
    <t>C-8742</t>
  </si>
  <si>
    <t>ORD-10467</t>
  </si>
  <si>
    <t>C-8144</t>
  </si>
  <si>
    <t>ORD-10468</t>
  </si>
  <si>
    <t>C-3219</t>
  </si>
  <si>
    <t>ORD-10469</t>
  </si>
  <si>
    <t>C-4002</t>
  </si>
  <si>
    <t>ORD-10470</t>
  </si>
  <si>
    <t>C-9489</t>
  </si>
  <si>
    <t>ORD-10471</t>
  </si>
  <si>
    <t>C-2251</t>
  </si>
  <si>
    <t>ORD-10472</t>
  </si>
  <si>
    <t>C-5991</t>
  </si>
  <si>
    <t>ORD-10473</t>
  </si>
  <si>
    <t>C-8934</t>
  </si>
  <si>
    <t>ORD-10474</t>
  </si>
  <si>
    <t>C-3028</t>
  </si>
  <si>
    <t>ORD-10475</t>
  </si>
  <si>
    <t>C-9202</t>
  </si>
  <si>
    <t>ORD-10476</t>
  </si>
  <si>
    <t>C-9800</t>
  </si>
  <si>
    <t>ORD-10477</t>
  </si>
  <si>
    <t>C-7948</t>
  </si>
  <si>
    <t>ORD-10478</t>
  </si>
  <si>
    <t>C-9088</t>
  </si>
  <si>
    <t>ORD-10479</t>
  </si>
  <si>
    <t>C-8793</t>
  </si>
  <si>
    <t>ORD-10480</t>
  </si>
  <si>
    <t>C-3764</t>
  </si>
  <si>
    <t>ORD-10481</t>
  </si>
  <si>
    <t>C-7557</t>
  </si>
  <si>
    <t>ORD-10482</t>
  </si>
  <si>
    <t>C-3205</t>
  </si>
  <si>
    <t>ORD-10483</t>
  </si>
  <si>
    <t>C-2578</t>
  </si>
  <si>
    <t>ORD-10484</t>
  </si>
  <si>
    <t>C-1517</t>
  </si>
  <si>
    <t>ORD-10485</t>
  </si>
  <si>
    <t>C-3689</t>
  </si>
  <si>
    <t>ORD-10486</t>
  </si>
  <si>
    <t>C-3560</t>
  </si>
  <si>
    <t>ORD-10487</t>
  </si>
  <si>
    <t>C-7003</t>
  </si>
  <si>
    <t>ORD-10488</t>
  </si>
  <si>
    <t>C-6113</t>
  </si>
  <si>
    <t>ORD-10489</t>
  </si>
  <si>
    <t>C-7900</t>
  </si>
  <si>
    <t>ORD-10490</t>
  </si>
  <si>
    <t>C-4373</t>
  </si>
  <si>
    <t>ORD-10491</t>
  </si>
  <si>
    <t>ORD-10492</t>
  </si>
  <si>
    <t>C-9700</t>
  </si>
  <si>
    <t>ORD-10493</t>
  </si>
  <si>
    <t>C-9443</t>
  </si>
  <si>
    <t>ORD-10494</t>
  </si>
  <si>
    <t>C-1981</t>
  </si>
  <si>
    <t>ORD-10495</t>
  </si>
  <si>
    <t>C-7757</t>
  </si>
  <si>
    <t>ORD-10496</t>
  </si>
  <si>
    <t>C-8145</t>
  </si>
  <si>
    <t>ORD-10497</t>
  </si>
  <si>
    <t>C-8960</t>
  </si>
  <si>
    <t>ORD-10498</t>
  </si>
  <si>
    <t>C-9605</t>
  </si>
  <si>
    <t>ORD-10499</t>
  </si>
  <si>
    <t>C-3869</t>
  </si>
  <si>
    <t>ORD-10500</t>
  </si>
  <si>
    <t>C-5036</t>
  </si>
  <si>
    <t>📊 SALES PERFORMANCE SUMMARY DASHBOARD</t>
  </si>
  <si>
    <t>📌 KEY METRICS</t>
  </si>
  <si>
    <t>Total Sales</t>
  </si>
  <si>
    <t>Total Profit</t>
  </si>
  <si>
    <t>Avg Margin</t>
  </si>
  <si>
    <t>Total Orders</t>
  </si>
  <si>
    <t>Unique Customers</t>
  </si>
  <si>
    <t>Sales &amp; Profit by Region</t>
  </si>
  <si>
    <t>Sales &amp; Profit by Category</t>
  </si>
  <si>
    <t>Monthly Sales Trend (SUMIFS Formula)</t>
  </si>
  <si>
    <t>Month</t>
  </si>
  <si>
    <t>Jan</t>
  </si>
  <si>
    <t>Feb</t>
  </si>
  <si>
    <t>Mar</t>
  </si>
  <si>
    <t>Apr</t>
  </si>
  <si>
    <t>May</t>
  </si>
  <si>
    <t>Jun</t>
  </si>
  <si>
    <t>Jul</t>
  </si>
  <si>
    <t>Aug</t>
  </si>
  <si>
    <t>Sep</t>
  </si>
  <si>
    <t>Oct</t>
  </si>
  <si>
    <t>Nov</t>
  </si>
  <si>
    <t>Dec</t>
  </si>
  <si>
    <t>2022</t>
  </si>
  <si>
    <t>2023</t>
  </si>
  <si>
    <t>DATA ANALYST PROJECT – INTERMEDIATE LEVEL</t>
  </si>
  <si>
    <t>STEP 1: EXCEL ANALYSIS</t>
  </si>
  <si>
    <t>Task</t>
  </si>
  <si>
    <t>Action</t>
  </si>
  <si>
    <t>Explore Data</t>
  </si>
  <si>
    <t>Open Sales_Data sheet → review 500 rows, 16 columns</t>
  </si>
  <si>
    <t>Pivot Table</t>
  </si>
  <si>
    <t>Insert &gt; PivotTable → drag Region/Category to Rows, Sales/Profit to Values</t>
  </si>
  <si>
    <t>Pivot Chart</t>
  </si>
  <si>
    <t>Select PivotTable → Insert &gt; PivotChart → Clustered Bar</t>
  </si>
  <si>
    <t>VLOOKUP</t>
  </si>
  <si>
    <t>Use =VLOOKUP() to enrich data with external lookup tables</t>
  </si>
  <si>
    <t>Conditional Format</t>
  </si>
  <si>
    <t>Home &gt; Conditional Formatting &gt; Color Scales on Profit column</t>
  </si>
  <si>
    <t>Slicers</t>
  </si>
  <si>
    <t>Insert &gt; Slicer → add Region, Segment, Category for dashboard filtering</t>
  </si>
  <si>
    <t>STEP 2: SQL ANALYSIS</t>
  </si>
  <si>
    <t>Query</t>
  </si>
  <si>
    <t>Import</t>
  </si>
  <si>
    <t>Load Excel data into SQLite / PostgreSQL / MySQL</t>
  </si>
  <si>
    <t>Aggregation</t>
  </si>
  <si>
    <t>SELECT Region, SUM(Sales) FROM orders GROUP BY Region ORDER BY 2 DESC</t>
  </si>
  <si>
    <t>Window Functions</t>
  </si>
  <si>
    <t>RANK() OVER (PARTITION BY Category ORDER BY Sales DESC)</t>
  </si>
  <si>
    <t>CTEs</t>
  </si>
  <si>
    <t>WITH monthly AS (SELECT ...) SELECT * FROM monthly WHERE ...</t>
  </si>
  <si>
    <t>Subqueries</t>
  </si>
  <si>
    <t>Identify customers above average spend with nested SELECT</t>
  </si>
  <si>
    <t>STEP 3: POWER BI DASHBOARD</t>
  </si>
  <si>
    <t>Home &gt; Get Data &gt; Excel → connect to this workbook</t>
  </si>
  <si>
    <t>Relationships</t>
  </si>
  <si>
    <t>Model View → connect tables on Customer_ID, Product keys</t>
  </si>
  <si>
    <t>DAX Measures</t>
  </si>
  <si>
    <t>New Measure: Total Sales = SUM(Sales_Data[Sales])</t>
  </si>
  <si>
    <t>Profit Margin = DIVIDE([Total Profit],[Total Sales])</t>
  </si>
  <si>
    <t>Visuals</t>
  </si>
  <si>
    <t>Add KPI cards, Bar chart (Region vs Sales), Line (Monthly Trend)</t>
  </si>
  <si>
    <t>Add Year, Region, Segment, Category slicers</t>
  </si>
  <si>
    <t>Drillthrough</t>
  </si>
  <si>
    <t>Right-click chart &gt; Add drillthrough page for customer detail</t>
  </si>
  <si>
    <t>Publish</t>
  </si>
  <si>
    <t>Publish to Power BI Service → share with stakeholders</t>
  </si>
  <si>
    <t>Row Labels</t>
  </si>
  <si>
    <t>Grand Total</t>
  </si>
  <si>
    <t>Sum of Sales</t>
  </si>
  <si>
    <t>Sum of Profit</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</si>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</sst>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0.00"/>
    <numFmt numFmtId="166" formatCode="0.0%"/>
    <numFmt numFmtId="167" formatCode="\$#,##0"/>
    <numFmt numFmtId="168" formatCode="&quot;$&quot;#,##0.00"/>
  </numFmts>
  <fonts count="13" x14ac:knownFonts="1">
    <font>
      <sz val="11"/>
      <color theme="1"/>
      <name val="Calibri"/>
      <family val="2"/>
      <charset val="1"/>
    </font>
    <font>
      <b/>
      <sz val="11"/>
      <color rgb="FFFFFFFF"/>
      <name val="Calibri"/>
      <charset val="1"/>
    </font>
    <font>
      <sz val="10"/>
      <name val="Calibri"/>
      <charset val="1"/>
    </font>
    <font>
      <b/>
      <sz val="12"/>
      <color rgb="FFFFFFFF"/>
      <name val="Calibri"/>
      <charset val="1"/>
    </font>
    <font>
      <b/>
      <sz val="11"/>
      <color rgb="FF2E4057"/>
      <name val="Calibri"/>
      <charset val="1"/>
    </font>
    <font>
      <b/>
      <sz val="9"/>
      <color rgb="FF555555"/>
      <name val="Calibri"/>
      <charset val="1"/>
    </font>
    <font>
      <b/>
      <sz val="14"/>
      <color rgb="FF2E4057"/>
      <name val="Calibri"/>
      <charset val="1"/>
    </font>
    <font>
      <b/>
      <sz val="10"/>
      <color rgb="FFFFFFFF"/>
      <name val="Calibri"/>
      <charset val="1"/>
    </font>
    <font>
      <b/>
      <sz val="11"/>
      <name val="Calibri"/>
      <charset val="1"/>
    </font>
    <font>
      <b/>
      <sz val="16"/>
      <color rgb="FFFFFFFF"/>
      <name val="Calibri"/>
      <charset val="1"/>
    </font>
    <font>
      <sz val="11"/>
      <color rgb="FF000000"/>
      <name val="Calibri"/>
      <charset val="1"/>
    </font>
    <font>
      <b/>
      <sz val="13"/>
      <color rgb="FFFFFFFF"/>
      <name val="Calibri"/>
      <charset val="1"/>
    </font>
    <font>
      <sz val="10"/>
      <color rgb="FF000000"/>
      <name val="Calibri"/>
      <charset val="1"/>
    </font>
  </fonts>
  <fills count="14">
    <fill>
      <patternFill patternType="none"/>
    </fill>
    <fill>
      <patternFill patternType="gray125"/>
    </fill>
    <fill>
      <patternFill patternType="solid">
        <fgColor rgb="FF1F3864"/>
        <bgColor rgb="FF2E4057"/>
      </patternFill>
    </fill>
    <fill>
      <patternFill patternType="solid">
        <fgColor rgb="FFEEF2FF"/>
        <bgColor rgb="FFF0F4FF"/>
      </patternFill>
    </fill>
    <fill>
      <patternFill patternType="solid">
        <fgColor rgb="FF2E4057"/>
        <bgColor rgb="FF1F3864"/>
      </patternFill>
    </fill>
    <fill>
      <patternFill patternType="solid">
        <fgColor rgb="FFF0F4FF"/>
        <bgColor rgb="FFEEF2FF"/>
      </patternFill>
    </fill>
    <fill>
      <patternFill patternType="solid">
        <fgColor rgb="FFE8F4FD"/>
        <bgColor rgb="FFEEF2FF"/>
      </patternFill>
    </fill>
    <fill>
      <patternFill patternType="solid">
        <fgColor rgb="FF048A81"/>
        <bgColor rgb="FF008080"/>
      </patternFill>
    </fill>
    <fill>
      <patternFill patternType="solid">
        <fgColor rgb="FFF7FBFF"/>
        <bgColor rgb="FFFFFFFF"/>
      </patternFill>
    </fill>
    <fill>
      <patternFill patternType="solid">
        <fgColor rgb="FFFFF7F0"/>
        <bgColor rgb="FFFFF3E0"/>
      </patternFill>
    </fill>
    <fill>
      <patternFill patternType="solid">
        <fgColor rgb="FFDDEEFF"/>
        <bgColor rgb="FFE8F4FD"/>
      </patternFill>
    </fill>
    <fill>
      <patternFill patternType="solid">
        <fgColor rgb="FFFFE8D6"/>
        <bgColor rgb="FFFFF3E0"/>
      </patternFill>
    </fill>
    <fill>
      <patternFill patternType="solid">
        <fgColor rgb="FFEFF9F0"/>
        <bgColor rgb="FFF0F4FF"/>
      </patternFill>
    </fill>
    <fill>
      <patternFill patternType="solid">
        <fgColor rgb="FFFFF3E0"/>
        <bgColor rgb="FFFFF7F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3" fontId="6" fillId="6" borderId="0" xfId="0" applyNumberFormat="1" applyFont="1" applyFill="1" applyBorder="1" applyAlignment="1">
      <alignment horizontal="center"/>
    </xf>
    <xf numFmtId="166" fontId="6" fillId="6" borderId="0" xfId="0" applyNumberFormat="1" applyFont="1" applyFill="1" applyBorder="1" applyAlignment="1">
      <alignment horizontal="center"/>
    </xf>
    <xf numFmtId="167" fontId="6" fillId="6" borderId="0" xfId="0" applyNumberFormat="1" applyFont="1" applyFill="1" applyBorder="1" applyAlignment="1">
      <alignment horizontal="center"/>
    </xf>
    <xf numFmtId="0" fontId="5" fillId="5" borderId="0" xfId="0" applyFont="1" applyFill="1" applyBorder="1" applyAlignment="1">
      <alignment horizontal="center"/>
    </xf>
    <xf numFmtId="0" fontId="3" fillId="4" borderId="0" xfId="0" applyFont="1" applyFill="1" applyBorder="1" applyAlignment="1">
      <alignment horizontal="center"/>
    </xf>
    <xf numFmtId="0" fontId="0" fillId="0" borderId="0" xfId="0" applyAlignment="1"/>
    <xf numFmtId="0" fontId="1" fillId="2" borderId="1" xfId="0" applyFont="1" applyFill="1" applyBorder="1" applyAlignment="1">
      <alignment horizontal="center" vertical="center"/>
    </xf>
    <xf numFmtId="0" fontId="2" fillId="0" borderId="1" xfId="0" applyFont="1" applyBorder="1" applyAlignment="1"/>
    <xf numFmtId="164" fontId="2" fillId="0" borderId="1" xfId="0" applyNumberFormat="1" applyFont="1" applyBorder="1" applyAlignment="1"/>
    <xf numFmtId="165" fontId="2" fillId="0" borderId="1" xfId="0" applyNumberFormat="1" applyFont="1" applyBorder="1" applyAlignment="1"/>
    <xf numFmtId="9" fontId="2" fillId="0" borderId="1" xfId="0" applyNumberFormat="1" applyFont="1" applyBorder="1" applyAlignment="1"/>
    <xf numFmtId="166" fontId="2" fillId="0" borderId="1" xfId="0" applyNumberFormat="1" applyFont="1" applyBorder="1" applyAlignment="1"/>
    <xf numFmtId="0" fontId="2" fillId="3" borderId="1" xfId="0" applyFont="1" applyFill="1" applyBorder="1" applyAlignment="1"/>
    <xf numFmtId="164" fontId="2" fillId="3" borderId="1" xfId="0" applyNumberFormat="1" applyFont="1" applyFill="1" applyBorder="1" applyAlignment="1"/>
    <xf numFmtId="165" fontId="2" fillId="3" borderId="1" xfId="0" applyNumberFormat="1" applyFont="1" applyFill="1" applyBorder="1" applyAlignment="1"/>
    <xf numFmtId="9" fontId="2" fillId="3" borderId="1" xfId="0" applyNumberFormat="1" applyFont="1" applyFill="1" applyBorder="1" applyAlignment="1"/>
    <xf numFmtId="166" fontId="2" fillId="3" borderId="1" xfId="0" applyNumberFormat="1" applyFont="1" applyFill="1" applyBorder="1" applyAlignment="1"/>
    <xf numFmtId="0" fontId="4" fillId="0" borderId="0" xfId="0" applyFont="1" applyAlignment="1"/>
    <xf numFmtId="0" fontId="7" fillId="7" borderId="1" xfId="0" applyFont="1" applyFill="1" applyBorder="1" applyAlignment="1">
      <alignment horizontal="center"/>
    </xf>
    <xf numFmtId="0" fontId="2" fillId="8" borderId="0" xfId="0" applyFont="1" applyFill="1" applyAlignment="1"/>
    <xf numFmtId="167" fontId="2" fillId="8" borderId="0" xfId="0" applyNumberFormat="1" applyFont="1" applyFill="1" applyAlignment="1"/>
    <xf numFmtId="166" fontId="2" fillId="8" borderId="0" xfId="0" applyNumberFormat="1" applyFont="1" applyFill="1" applyAlignment="1"/>
    <xf numFmtId="0" fontId="2" fillId="9" borderId="0" xfId="0" applyFont="1" applyFill="1" applyAlignment="1"/>
    <xf numFmtId="167" fontId="2" fillId="9" borderId="0" xfId="0" applyNumberFormat="1" applyFont="1" applyFill="1" applyAlignment="1"/>
    <xf numFmtId="166" fontId="2" fillId="9" borderId="0" xfId="0" applyNumberFormat="1" applyFont="1" applyFill="1" applyAlignment="1"/>
    <xf numFmtId="0" fontId="2" fillId="10" borderId="0" xfId="0" applyFont="1" applyFill="1" applyAlignment="1"/>
    <xf numFmtId="167" fontId="2" fillId="10" borderId="0" xfId="0" applyNumberFormat="1" applyFont="1" applyFill="1" applyAlignment="1"/>
    <xf numFmtId="166" fontId="2" fillId="10" borderId="0" xfId="0" applyNumberFormat="1" applyFont="1" applyFill="1" applyAlignment="1"/>
    <xf numFmtId="0" fontId="2" fillId="11" borderId="0" xfId="0" applyFont="1" applyFill="1" applyAlignment="1"/>
    <xf numFmtId="167" fontId="2" fillId="11" borderId="0" xfId="0" applyNumberFormat="1" applyFont="1" applyFill="1" applyAlignment="1"/>
    <xf numFmtId="166" fontId="2" fillId="11" borderId="0" xfId="0" applyNumberFormat="1" applyFont="1" applyFill="1" applyAlignment="1"/>
    <xf numFmtId="0" fontId="8" fillId="0" borderId="0" xfId="0" applyFont="1" applyAlignment="1"/>
    <xf numFmtId="167" fontId="2" fillId="12" borderId="0" xfId="0" applyNumberFormat="1" applyFont="1" applyFill="1" applyAlignment="1"/>
    <xf numFmtId="167" fontId="2" fillId="13" borderId="0" xfId="0" applyNumberFormat="1" applyFont="1" applyFill="1" applyAlignment="1"/>
    <xf numFmtId="0" fontId="9" fillId="2" borderId="0" xfId="0" applyFont="1" applyFill="1" applyAlignment="1">
      <alignment vertical="center" wrapText="1"/>
    </xf>
    <xf numFmtId="0" fontId="10" fillId="0" borderId="0" xfId="0" applyFont="1" applyAlignment="1">
      <alignment vertical="center" wrapText="1"/>
    </xf>
    <xf numFmtId="0" fontId="11" fillId="4" borderId="0" xfId="0" applyFont="1" applyFill="1" applyAlignment="1">
      <alignment vertical="center" wrapText="1"/>
    </xf>
    <xf numFmtId="0" fontId="7" fillId="7" borderId="0" xfId="0" applyFont="1" applyFill="1" applyAlignment="1">
      <alignment vertical="center" wrapText="1"/>
    </xf>
    <xf numFmtId="0" fontId="12" fillId="5" borderId="0" xfId="0" applyFont="1" applyFill="1" applyAlignment="1">
      <alignment vertical="center" wrapText="1"/>
    </xf>
    <xf numFmtId="0" fontId="12"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2" xfId="0" pivotButton="1" applyBorder="1"/>
    <xf numFmtId="0" fontId="0" fillId="0" borderId="2" xfId="0" applyBorder="1"/>
    <xf numFmtId="0" fontId="0" fillId="0" borderId="2" xfId="0" applyBorder="1" applyAlignment="1">
      <alignment horizontal="left"/>
    </xf>
    <xf numFmtId="168" fontId="0" fillId="0" borderId="2" xfId="0" applyNumberFormat="1" applyBorder="1"/>
    <xf numFmtId="0" fontId="0" fillId="0" borderId="0" xfId="0" applyAlignment="1">
      <alignment horizontal="left" indent="1"/>
    </xf>
  </cellXfs>
  <cellStyles count="1">
    <cellStyle name="Normal" xfId="0" builtinId="0"/>
  </cellStyles>
  <dxfs count="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8A81"/>
      <rgbColor rgb="FFCCCCCC"/>
      <rgbColor rgb="FF808080"/>
      <rgbColor rgb="FF9999FF"/>
      <rgbColor rgb="FF993366"/>
      <rgbColor rgb="FFFFF3E0"/>
      <rgbColor rgb="FFDDEEFF"/>
      <rgbColor rgb="FF660066"/>
      <rgbColor rgb="FFFF8080"/>
      <rgbColor rgb="FF0066CC"/>
      <rgbColor rgb="FFEEF2FF"/>
      <rgbColor rgb="FF000080"/>
      <rgbColor rgb="FFFF00FF"/>
      <rgbColor rgb="FFFFFF00"/>
      <rgbColor rgb="FF00FFFF"/>
      <rgbColor rgb="FF800080"/>
      <rgbColor rgb="FF800000"/>
      <rgbColor rgb="FF008080"/>
      <rgbColor rgb="FF0000FF"/>
      <rgbColor rgb="FF00CCFF"/>
      <rgbColor rgb="FFE8F4FD"/>
      <rgbColor rgb="FFEFF9F0"/>
      <rgbColor rgb="FFFFE8D6"/>
      <rgbColor rgb="FFF0F4FF"/>
      <rgbColor rgb="FFF7FBFF"/>
      <rgbColor rgb="FFCC99FF"/>
      <rgbColor rgb="FFFFF7F0"/>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Region Wise Sales &amp; Profit Analysis</a:t>
            </a:r>
            <a:endParaRPr lang="en-US" b="1"/>
          </a:p>
        </c:rich>
      </c:tx>
      <c:layout>
        <c:manualLayout>
          <c:xMode val="edge"/>
          <c:yMode val="edge"/>
          <c:x val="0.21515966754155733"/>
          <c:y val="0.107548303450020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s>
    <c:plotArea>
      <c:layout>
        <c:manualLayout>
          <c:layoutTarget val="inner"/>
          <c:xMode val="edge"/>
          <c:yMode val="edge"/>
          <c:x val="0.23788670166229223"/>
          <c:y val="0.23793504727571704"/>
          <c:w val="0.46172615923009624"/>
          <c:h val="0.67781361667141005"/>
        </c:manualLayout>
      </c:layout>
      <c:barChart>
        <c:barDir val="bar"/>
        <c:grouping val="clustered"/>
        <c:varyColors val="0"/>
        <c:ser>
          <c:idx val="0"/>
          <c:order val="0"/>
          <c:tx>
            <c:strRef>
              <c:f>Sheet1!$B$3</c:f>
              <c:strCache>
                <c:ptCount val="1"/>
                <c:pt idx="0">
                  <c:v>Sum of Sales</c:v>
                </c:pt>
              </c:strCache>
            </c:strRef>
          </c:tx>
          <c:spPr>
            <a:solidFill>
              <a:schemeClr val="accent6"/>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"$"#,##0.00</c:formatCode>
                <c:ptCount val="4"/>
                <c:pt idx="0">
                  <c:v>154825.38</c:v>
                </c:pt>
                <c:pt idx="1">
                  <c:v>129942.56999999993</c:v>
                </c:pt>
                <c:pt idx="2">
                  <c:v>141611.65</c:v>
                </c:pt>
                <c:pt idx="3">
                  <c:v>145519.69999999998</c:v>
                </c:pt>
              </c:numCache>
            </c:numRef>
          </c:val>
          <c:extLst>
            <c:ext xmlns:c16="http://schemas.microsoft.com/office/drawing/2014/chart" uri="{C3380CC4-5D6E-409C-BE32-E72D297353CC}">
              <c16:uniqueId val="{00000000-69D2-4A62-A1F6-3D958A776D29}"/>
            </c:ext>
          </c:extLst>
        </c:ser>
        <c:ser>
          <c:idx val="1"/>
          <c:order val="1"/>
          <c:tx>
            <c:strRef>
              <c:f>Sheet1!$C$3</c:f>
              <c:strCache>
                <c:ptCount val="1"/>
                <c:pt idx="0">
                  <c:v>Sum of Profit</c:v>
                </c:pt>
              </c:strCache>
            </c:strRef>
          </c:tx>
          <c:spPr>
            <a:solidFill>
              <a:schemeClr val="accent5"/>
            </a:solidFill>
            <a:ln>
              <a:noFill/>
            </a:ln>
            <a:effectLst/>
          </c:spPr>
          <c:invertIfNegative val="0"/>
          <c:cat>
            <c:strRef>
              <c:f>Sheet1!$A$4:$A$8</c:f>
              <c:strCache>
                <c:ptCount val="4"/>
                <c:pt idx="0">
                  <c:v>Central</c:v>
                </c:pt>
                <c:pt idx="1">
                  <c:v>East</c:v>
                </c:pt>
                <c:pt idx="2">
                  <c:v>South</c:v>
                </c:pt>
                <c:pt idx="3">
                  <c:v>West</c:v>
                </c:pt>
              </c:strCache>
            </c:strRef>
          </c:cat>
          <c:val>
            <c:numRef>
              <c:f>Sheet1!$C$4:$C$8</c:f>
              <c:numCache>
                <c:formatCode>"$"#,##0.00</c:formatCode>
                <c:ptCount val="4"/>
                <c:pt idx="0">
                  <c:v>49271.05000000001</c:v>
                </c:pt>
                <c:pt idx="1">
                  <c:v>41922.269999999997</c:v>
                </c:pt>
                <c:pt idx="2">
                  <c:v>47214.920000000006</c:v>
                </c:pt>
                <c:pt idx="3">
                  <c:v>49329.119999999995</c:v>
                </c:pt>
              </c:numCache>
            </c:numRef>
          </c:val>
          <c:extLst>
            <c:ext xmlns:c16="http://schemas.microsoft.com/office/drawing/2014/chart" uri="{C3380CC4-5D6E-409C-BE32-E72D297353CC}">
              <c16:uniqueId val="{00000001-69D2-4A62-A1F6-3D958A776D29}"/>
            </c:ext>
          </c:extLst>
        </c:ser>
        <c:dLbls>
          <c:showLegendKey val="0"/>
          <c:showVal val="0"/>
          <c:showCatName val="0"/>
          <c:showSerName val="0"/>
          <c:showPercent val="0"/>
          <c:showBubbleSize val="0"/>
        </c:dLbls>
        <c:gapWidth val="182"/>
        <c:axId val="350061488"/>
        <c:axId val="350061816"/>
      </c:barChart>
      <c:catAx>
        <c:axId val="3500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61816"/>
        <c:crosses val="autoZero"/>
        <c:auto val="1"/>
        <c:lblAlgn val="ctr"/>
        <c:lblOffset val="100"/>
        <c:noMultiLvlLbl val="0"/>
      </c:catAx>
      <c:valAx>
        <c:axId val="350061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61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347662</xdr:colOff>
      <xdr:row>2</xdr:row>
      <xdr:rowOff>114300</xdr:rowOff>
    </xdr:from>
    <xdr:to>
      <xdr:col>11</xdr:col>
      <xdr:colOff>42862</xdr:colOff>
      <xdr:row>19</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11</xdr:col>
      <xdr:colOff>0</xdr:colOff>
      <xdr:row>13</xdr:row>
      <xdr:rowOff>9525</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15050" y="0"/>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295275</xdr:colOff>
      <xdr:row>14</xdr:row>
      <xdr:rowOff>0</xdr:rowOff>
    </xdr:from>
    <xdr:to>
      <xdr:col>7</xdr:col>
      <xdr:colOff>295275</xdr:colOff>
      <xdr:row>26</xdr:row>
      <xdr:rowOff>180975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71925" y="2667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295275</xdr:colOff>
      <xdr:row>0</xdr:row>
      <xdr:rowOff>1</xdr:rowOff>
    </xdr:from>
    <xdr:to>
      <xdr:col>7</xdr:col>
      <xdr:colOff>295275</xdr:colOff>
      <xdr:row>13</xdr:row>
      <xdr:rowOff>1</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71925" y="1"/>
              <a:ext cx="1828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56.48924988426" createdVersion="6" refreshedVersion="6" minRefreshableVersion="3" recordCount="500">
  <cacheSource type="worksheet">
    <worksheetSource ref="A1:P501" sheet="Sales_Data"/>
  </cacheSource>
  <cacheFields count="16">
    <cacheField name="Order_ID" numFmtId="0">
      <sharedItems/>
    </cacheField>
    <cacheField name="Order_Date" numFmtId="164">
      <sharedItems containsSemiMixedTypes="0" containsNonDate="0" containsDate="1" containsString="0" minDate="2022-01-03T00:00:00" maxDate="2023-12-29T00:00:00"/>
    </cacheField>
    <cacheField name="Ship_Date" numFmtId="164">
      <sharedItems containsSemiMixedTypes="0" containsNonDate="0" containsDate="1" containsString="0" minDate="2022-01-04T00:00:00" maxDate="2024-01-04T00:00:00"/>
    </cacheField>
    <cacheField name="Customer_ID" numFmtId="0">
      <sharedItems/>
    </cacheField>
    <cacheField name="Customer_Name" numFmtId="0">
      <sharedItems/>
    </cacheField>
    <cacheField name="Segment" numFmtId="0">
      <sharedItems count="3">
        <s v="Consumer"/>
        <s v="Home Office"/>
        <s v="Corporate"/>
      </sharedItems>
    </cacheField>
    <cacheField name="Region" numFmtId="0">
      <sharedItems count="4">
        <s v="West"/>
        <s v="East"/>
        <s v="Central"/>
        <s v="South"/>
      </sharedItems>
    </cacheField>
    <cacheField name="State" numFmtId="0">
      <sharedItems/>
    </cacheField>
    <cacheField name="Category" numFmtId="0">
      <sharedItems count="3">
        <s v="Technology"/>
        <s v="Office Supplies"/>
        <s v="Furniture"/>
      </sharedItems>
    </cacheField>
    <cacheField name="Sub_Category" numFmtId="0">
      <sharedItems count="12">
        <s v="Accessories"/>
        <s v="Appliances"/>
        <s v="Copiers"/>
        <s v="Phones"/>
        <s v="Tables"/>
        <s v="Paper"/>
        <s v="Computers"/>
        <s v="Bookcases"/>
        <s v="Binders"/>
        <s v="Furnishings"/>
        <s v="Storage"/>
        <s v="Chairs"/>
      </sharedItems>
    </cacheField>
    <cacheField name="Product_Name" numFmtId="0">
      <sharedItems/>
    </cacheField>
    <cacheField name="Sales" numFmtId="165">
      <sharedItems containsSemiMixedTypes="0" containsString="0" containsNumber="1" minValue="12.68" maxValue="9156.24"/>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165">
      <sharedItems containsSemiMixedTypes="0" containsString="0" containsNumber="1" minValue="2.97" maxValue="3978.47"/>
    </cacheField>
    <cacheField name="Profit_Margin%" numFmtId="166">
      <sharedItems containsSemiMixedTypes="0" containsString="0" containsNumber="1" minValue="0.2" maxValue="0.44997735712344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10001"/>
    <d v="2023-10-17T00:00:00"/>
    <d v="2023-10-18T00:00:00"/>
    <s v="C-1520"/>
    <s v="Alice Johnson"/>
    <x v="0"/>
    <x v="0"/>
    <s v="Oregon"/>
    <x v="0"/>
    <x v="0"/>
    <s v="Keyboard"/>
    <n v="80.819999999999993"/>
    <n v="2"/>
    <n v="0"/>
    <n v="24.44"/>
    <n v="0.30240039594159868"/>
  </r>
  <r>
    <s v="ORD-10002"/>
    <d v="2022-08-12T00:00:00"/>
    <d v="2022-08-14T00:00:00"/>
    <s v="C-3615"/>
    <s v="Grace Garcia"/>
    <x v="1"/>
    <x v="0"/>
    <s v="Washington"/>
    <x v="1"/>
    <x v="1"/>
    <s v="Coffee Maker"/>
    <n v="847.52"/>
    <n v="8"/>
    <n v="0"/>
    <n v="220.61"/>
    <n v="0.2603006418727582"/>
  </r>
  <r>
    <s v="ORD-10003"/>
    <d v="2022-10-12T00:00:00"/>
    <d v="2022-10-14T00:00:00"/>
    <s v="C-8527"/>
    <s v="Iris Johnson"/>
    <x v="0"/>
    <x v="1"/>
    <s v="Virginia"/>
    <x v="0"/>
    <x v="2"/>
    <s v="Canon Copier"/>
    <n v="2127.8200000000002"/>
    <n v="6"/>
    <n v="0.1"/>
    <n v="528.16"/>
    <n v="0.2482164844770704"/>
  </r>
  <r>
    <s v="ORD-10004"/>
    <d v="2023-01-23T00:00:00"/>
    <d v="2023-01-24T00:00:00"/>
    <s v="C-2654"/>
    <s v="Grace Jones"/>
    <x v="1"/>
    <x v="2"/>
    <s v="Ohio"/>
    <x v="0"/>
    <x v="3"/>
    <s v="iPhone 13"/>
    <n v="2156.1999999999998"/>
    <n v="4"/>
    <n v="0"/>
    <n v="509.23"/>
    <n v="0.23617011408960212"/>
  </r>
  <r>
    <s v="ORD-10005"/>
    <d v="2023-04-10T00:00:00"/>
    <d v="2023-04-16T00:00:00"/>
    <s v="C-3803"/>
    <s v="Iris Brown"/>
    <x v="2"/>
    <x v="2"/>
    <s v="Illinois"/>
    <x v="2"/>
    <x v="4"/>
    <s v="Side Table"/>
    <n v="1457.25"/>
    <n v="5"/>
    <n v="0"/>
    <n v="433.85"/>
    <n v="0.29771830502659119"/>
  </r>
  <r>
    <s v="ORD-10006"/>
    <d v="2022-06-17T00:00:00"/>
    <d v="2022-06-21T00:00:00"/>
    <s v="C-1525"/>
    <s v="Frank Martinez"/>
    <x v="1"/>
    <x v="3"/>
    <s v="Tennessee"/>
    <x v="1"/>
    <x v="5"/>
    <s v="Copy Paper"/>
    <n v="132.78"/>
    <n v="6"/>
    <n v="0"/>
    <n v="52.15"/>
    <n v="0.39275493297183312"/>
  </r>
  <r>
    <s v="ORD-10007"/>
    <d v="2022-10-02T00:00:00"/>
    <d v="2022-10-03T00:00:00"/>
    <s v="C-9830"/>
    <s v="Eve Martinez"/>
    <x v="0"/>
    <x v="1"/>
    <s v="Virginia"/>
    <x v="1"/>
    <x v="1"/>
    <s v="Microwave"/>
    <n v="694.88"/>
    <n v="8"/>
    <n v="0"/>
    <n v="269.85000000000002"/>
    <n v="0.38834043288049741"/>
  </r>
  <r>
    <s v="ORD-10008"/>
    <d v="2023-08-21T00:00:00"/>
    <d v="2023-08-25T00:00:00"/>
    <s v="C-7916"/>
    <s v="Jack Johnson"/>
    <x v="0"/>
    <x v="2"/>
    <s v="Illinois"/>
    <x v="1"/>
    <x v="1"/>
    <s v="Coffee Maker"/>
    <n v="117.56"/>
    <n v="1"/>
    <n v="0"/>
    <n v="34.46"/>
    <n v="0.29312691391629808"/>
  </r>
  <r>
    <s v="ORD-10009"/>
    <d v="2023-01-30T00:00:00"/>
    <d v="2023-02-03T00:00:00"/>
    <s v="C-8123"/>
    <s v="Carol Davis"/>
    <x v="1"/>
    <x v="3"/>
    <s v="Tennessee"/>
    <x v="0"/>
    <x v="3"/>
    <s v="Pixel 6"/>
    <n v="4089.31"/>
    <n v="9"/>
    <n v="0.15"/>
    <n v="1726.15"/>
    <n v="0.42211277697215427"/>
  </r>
  <r>
    <s v="ORD-10010"/>
    <d v="2022-01-04T00:00:00"/>
    <d v="2022-01-10T00:00:00"/>
    <s v="C-3646"/>
    <s v="Iris Smith"/>
    <x v="1"/>
    <x v="2"/>
    <s v="Illinois"/>
    <x v="0"/>
    <x v="6"/>
    <s v="HP Notebook"/>
    <n v="8598.8700000000008"/>
    <n v="9"/>
    <n v="0"/>
    <n v="3065.68"/>
    <n v="0.35652126384048133"/>
  </r>
  <r>
    <s v="ORD-10011"/>
    <d v="2023-09-06T00:00:00"/>
    <d v="2023-09-09T00:00:00"/>
    <s v="C-8962"/>
    <s v="Bob Williams"/>
    <x v="0"/>
    <x v="3"/>
    <s v="Georgia"/>
    <x v="2"/>
    <x v="7"/>
    <s v="5-Shelf Bookcase"/>
    <n v="115.01"/>
    <n v="1"/>
    <n v="0"/>
    <n v="49.29"/>
    <n v="0.42857142857142855"/>
  </r>
  <r>
    <s v="ORD-10012"/>
    <d v="2022-05-12T00:00:00"/>
    <d v="2022-05-18T00:00:00"/>
    <s v="C-7537"/>
    <s v="Frank Davis"/>
    <x v="2"/>
    <x v="3"/>
    <s v="North Carolina"/>
    <x v="1"/>
    <x v="1"/>
    <s v="Coffee Maker"/>
    <n v="966.49"/>
    <n v="9"/>
    <n v="0.05"/>
    <n v="262.66000000000003"/>
    <n v="0.27176690912477108"/>
  </r>
  <r>
    <s v="ORD-10013"/>
    <d v="2023-06-14T00:00:00"/>
    <d v="2023-06-18T00:00:00"/>
    <s v="C-1964"/>
    <s v="David Johnson"/>
    <x v="0"/>
    <x v="0"/>
    <s v="Washington"/>
    <x v="0"/>
    <x v="6"/>
    <s v="Dell Laptop"/>
    <n v="8876.51"/>
    <n v="10"/>
    <n v="0.05"/>
    <n v="3978.47"/>
    <n v="0.4482020523832001"/>
  </r>
  <r>
    <s v="ORD-10014"/>
    <d v="2022-02-02T00:00:00"/>
    <d v="2022-02-09T00:00:00"/>
    <s v="C-8744"/>
    <s v="David Davis"/>
    <x v="1"/>
    <x v="2"/>
    <s v="Texas"/>
    <x v="0"/>
    <x v="6"/>
    <s v="HP Notebook"/>
    <n v="6435.6"/>
    <n v="8"/>
    <n v="0"/>
    <n v="1732.22"/>
    <n v="0.26916216048231711"/>
  </r>
  <r>
    <s v="ORD-10015"/>
    <d v="2023-02-21T00:00:00"/>
    <d v="2023-02-23T00:00:00"/>
    <s v="C-2612"/>
    <s v="Alice Martinez"/>
    <x v="1"/>
    <x v="0"/>
    <s v="California"/>
    <x v="2"/>
    <x v="7"/>
    <s v="3-Shelf Bookcase"/>
    <n v="890.54"/>
    <n v="7"/>
    <n v="0"/>
    <n v="250.83"/>
    <n v="0.28166056549958457"/>
  </r>
  <r>
    <s v="ORD-10016"/>
    <d v="2022-12-14T00:00:00"/>
    <d v="2022-12-21T00:00:00"/>
    <s v="C-2235"/>
    <s v="Henry Johnson"/>
    <x v="0"/>
    <x v="0"/>
    <s v="Washington"/>
    <x v="0"/>
    <x v="2"/>
    <s v="Canon Copier"/>
    <n v="1462.26"/>
    <n v="7"/>
    <n v="0.3"/>
    <n v="566.70000000000005"/>
    <n v="0.38755077756349765"/>
  </r>
  <r>
    <s v="ORD-10017"/>
    <d v="2022-02-21T00:00:00"/>
    <d v="2022-02-27T00:00:00"/>
    <s v="C-3697"/>
    <s v="Grace Smith"/>
    <x v="0"/>
    <x v="0"/>
    <s v="California"/>
    <x v="0"/>
    <x v="2"/>
    <s v="Xerox MX"/>
    <n v="1937.79"/>
    <n v="8"/>
    <n v="0.2"/>
    <n v="434.82"/>
    <n v="0.22438963974424472"/>
  </r>
  <r>
    <s v="ORD-10018"/>
    <d v="2023-02-04T00:00:00"/>
    <d v="2023-02-07T00:00:00"/>
    <s v="C-9883"/>
    <s v="Alice Garcia"/>
    <x v="2"/>
    <x v="3"/>
    <s v="Tennessee"/>
    <x v="1"/>
    <x v="1"/>
    <s v="Coffee Maker"/>
    <n v="373.72"/>
    <n v="4"/>
    <n v="0"/>
    <n v="114.06"/>
    <n v="0.30520175532484212"/>
  </r>
  <r>
    <s v="ORD-10019"/>
    <d v="2022-02-28T00:00:00"/>
    <d v="2022-03-01T00:00:00"/>
    <s v="C-5033"/>
    <s v="Jack Smith"/>
    <x v="0"/>
    <x v="3"/>
    <s v="North Carolina"/>
    <x v="1"/>
    <x v="8"/>
    <s v="Heavy Duty Binder"/>
    <n v="25.48"/>
    <n v="2"/>
    <n v="0.05"/>
    <n v="8.89"/>
    <n v="0.34890109890109894"/>
  </r>
  <r>
    <s v="ORD-10020"/>
    <d v="2023-09-27T00:00:00"/>
    <d v="2023-09-28T00:00:00"/>
    <s v="C-2188"/>
    <s v="Alice Davis"/>
    <x v="2"/>
    <x v="3"/>
    <s v="Tennessee"/>
    <x v="0"/>
    <x v="6"/>
    <s v="Dell Laptop"/>
    <n v="3932.51"/>
    <n v="5"/>
    <n v="0.1"/>
    <n v="1320.12"/>
    <n v="0.33569399696377117"/>
  </r>
  <r>
    <s v="ORD-10021"/>
    <d v="2023-09-29T00:00:00"/>
    <d v="2023-10-04T00:00:00"/>
    <s v="C-3584"/>
    <s v="Henry Jones"/>
    <x v="1"/>
    <x v="0"/>
    <s v="California"/>
    <x v="0"/>
    <x v="6"/>
    <s v="Dell Laptop"/>
    <n v="6038.75"/>
    <n v="6"/>
    <n v="0.05"/>
    <n v="2159.5700000000002"/>
    <n v="0.35761871248188781"/>
  </r>
  <r>
    <s v="ORD-10022"/>
    <d v="2023-09-19T00:00:00"/>
    <d v="2023-09-26T00:00:00"/>
    <s v="C-4450"/>
    <s v="Frank Brown"/>
    <x v="1"/>
    <x v="0"/>
    <s v="Oregon"/>
    <x v="0"/>
    <x v="0"/>
    <s v="Wireless Mouse"/>
    <n v="87.52"/>
    <n v="2"/>
    <n v="0"/>
    <n v="33.43"/>
    <n v="0.38196983546617919"/>
  </r>
  <r>
    <s v="ORD-10023"/>
    <d v="2023-12-05T00:00:00"/>
    <d v="2023-12-11T00:00:00"/>
    <s v="C-3143"/>
    <s v="Eve Williams"/>
    <x v="2"/>
    <x v="2"/>
    <s v="Michigan"/>
    <x v="0"/>
    <x v="3"/>
    <s v="Pixel 6"/>
    <n v="3853.08"/>
    <n v="7"/>
    <n v="0"/>
    <n v="1730.47"/>
    <n v="0.44911343652350849"/>
  </r>
  <r>
    <s v="ORD-10024"/>
    <d v="2023-03-29T00:00:00"/>
    <d v="2023-04-03T00:00:00"/>
    <s v="C-1685"/>
    <s v="Eve Garcia"/>
    <x v="0"/>
    <x v="3"/>
    <s v="Georgia"/>
    <x v="0"/>
    <x v="0"/>
    <s v="Keyboard"/>
    <n v="42.89"/>
    <n v="1"/>
    <n v="0"/>
    <n v="14.69"/>
    <n v="0.34250408020517603"/>
  </r>
  <r>
    <s v="ORD-10025"/>
    <d v="2022-02-10T00:00:00"/>
    <d v="2022-02-13T00:00:00"/>
    <s v="C-4878"/>
    <s v="Carol Williams"/>
    <x v="1"/>
    <x v="1"/>
    <s v="Pennsylvania"/>
    <x v="0"/>
    <x v="6"/>
    <s v="HP Notebook"/>
    <n v="7664.93"/>
    <n v="7"/>
    <n v="0"/>
    <n v="1675.24"/>
    <n v="0.21855907359884563"/>
  </r>
  <r>
    <s v="ORD-10026"/>
    <d v="2023-02-27T00:00:00"/>
    <d v="2023-02-28T00:00:00"/>
    <s v="C-1634"/>
    <s v="Henry Brown"/>
    <x v="2"/>
    <x v="1"/>
    <s v="Virginia"/>
    <x v="1"/>
    <x v="5"/>
    <s v="Legal Pad"/>
    <n v="65.040000000000006"/>
    <n v="3"/>
    <n v="0"/>
    <n v="23.05"/>
    <n v="0.35439729397293973"/>
  </r>
  <r>
    <s v="ORD-10027"/>
    <d v="2022-07-24T00:00:00"/>
    <d v="2022-07-31T00:00:00"/>
    <s v="C-5573"/>
    <s v="Frank Martinez"/>
    <x v="2"/>
    <x v="3"/>
    <s v="Tennessee"/>
    <x v="0"/>
    <x v="0"/>
    <s v="USB Hub"/>
    <n v="129.71"/>
    <n v="4"/>
    <n v="0.1"/>
    <n v="30.34"/>
    <n v="0.23390640659933698"/>
  </r>
  <r>
    <s v="ORD-10028"/>
    <d v="2023-11-27T00:00:00"/>
    <d v="2023-12-04T00:00:00"/>
    <s v="C-6139"/>
    <s v="Grace Johnson"/>
    <x v="0"/>
    <x v="2"/>
    <s v="Texas"/>
    <x v="2"/>
    <x v="4"/>
    <s v="Side Table"/>
    <n v="867.2"/>
    <n v="5"/>
    <n v="0.2"/>
    <n v="315.3"/>
    <n v="0.36358394833948338"/>
  </r>
  <r>
    <s v="ORD-10029"/>
    <d v="2023-01-30T00:00:00"/>
    <d v="2023-02-04T00:00:00"/>
    <s v="C-2146"/>
    <s v="Frank Garcia"/>
    <x v="0"/>
    <x v="1"/>
    <s v="Virginia"/>
    <x v="1"/>
    <x v="1"/>
    <s v="Coffee Maker"/>
    <n v="1028.74"/>
    <n v="9"/>
    <n v="0.05"/>
    <n v="369.26"/>
    <n v="0.35894395085249914"/>
  </r>
  <r>
    <s v="ORD-10030"/>
    <d v="2023-11-11T00:00:00"/>
    <d v="2023-11-18T00:00:00"/>
    <s v="C-7211"/>
    <s v="Carol Jones"/>
    <x v="1"/>
    <x v="0"/>
    <s v="Oregon"/>
    <x v="2"/>
    <x v="9"/>
    <s v="Storage Cabinet"/>
    <n v="733.18"/>
    <n v="7"/>
    <n v="0"/>
    <n v="294.77"/>
    <n v="0.40204315447775446"/>
  </r>
  <r>
    <s v="ORD-10031"/>
    <d v="2023-02-20T00:00:00"/>
    <d v="2023-02-25T00:00:00"/>
    <s v="C-4501"/>
    <s v="Iris Davis"/>
    <x v="2"/>
    <x v="0"/>
    <s v="Oregon"/>
    <x v="0"/>
    <x v="2"/>
    <s v="Brother Printer"/>
    <n v="2563.96"/>
    <n v="10"/>
    <n v="0.3"/>
    <n v="870.6"/>
    <n v="0.3395528791400802"/>
  </r>
  <r>
    <s v="ORD-10032"/>
    <d v="2022-06-23T00:00:00"/>
    <d v="2022-06-29T00:00:00"/>
    <s v="C-3414"/>
    <s v="Alice Smith"/>
    <x v="1"/>
    <x v="0"/>
    <s v="Oregon"/>
    <x v="1"/>
    <x v="10"/>
    <s v="File Box"/>
    <n v="240.92"/>
    <n v="4"/>
    <n v="0.05"/>
    <n v="59.83"/>
    <n v="0.24833969782500415"/>
  </r>
  <r>
    <s v="ORD-10033"/>
    <d v="2022-09-08T00:00:00"/>
    <d v="2022-09-12T00:00:00"/>
    <s v="C-1090"/>
    <s v="Bob Martinez"/>
    <x v="2"/>
    <x v="0"/>
    <s v="Nevada"/>
    <x v="1"/>
    <x v="5"/>
    <s v="Copy Paper"/>
    <n v="128.34"/>
    <n v="7"/>
    <n v="0.05"/>
    <n v="53.02"/>
    <n v="0.41312139629110178"/>
  </r>
  <r>
    <s v="ORD-10034"/>
    <d v="2022-08-13T00:00:00"/>
    <d v="2022-08-15T00:00:00"/>
    <s v="C-8251"/>
    <s v="Jack Martinez"/>
    <x v="1"/>
    <x v="3"/>
    <s v="Georgia"/>
    <x v="0"/>
    <x v="3"/>
    <s v="Samsung Galaxy S22"/>
    <n v="1389.21"/>
    <n v="3"/>
    <n v="0.15"/>
    <n v="295.19"/>
    <n v="0.21248767285003706"/>
  </r>
  <r>
    <s v="ORD-10035"/>
    <d v="2023-07-16T00:00:00"/>
    <d v="2023-07-20T00:00:00"/>
    <s v="C-5499"/>
    <s v="Henry Johnson"/>
    <x v="2"/>
    <x v="1"/>
    <s v="Florida"/>
    <x v="2"/>
    <x v="4"/>
    <s v="Side Table"/>
    <n v="1045.27"/>
    <n v="5"/>
    <n v="0.3"/>
    <n v="306.58999999999997"/>
    <n v="0.29331177590479013"/>
  </r>
  <r>
    <s v="ORD-10036"/>
    <d v="2022-10-20T00:00:00"/>
    <d v="2022-10-22T00:00:00"/>
    <s v="C-2052"/>
    <s v="Grace Martinez"/>
    <x v="2"/>
    <x v="2"/>
    <s v="Ohio"/>
    <x v="1"/>
    <x v="8"/>
    <s v="Heavy Duty Binder"/>
    <n v="34.35"/>
    <n v="3"/>
    <n v="0"/>
    <n v="9.39"/>
    <n v="0.27336244541484717"/>
  </r>
  <r>
    <s v="ORD-10037"/>
    <d v="2022-12-05T00:00:00"/>
    <d v="2022-12-10T00:00:00"/>
    <s v="C-7232"/>
    <s v="Henry Smith"/>
    <x v="0"/>
    <x v="3"/>
    <s v="Alabama"/>
    <x v="0"/>
    <x v="2"/>
    <s v="Xerox MX"/>
    <n v="4082.3"/>
    <n v="10"/>
    <n v="0"/>
    <n v="962.68"/>
    <n v="0.23581804374984688"/>
  </r>
  <r>
    <s v="ORD-10038"/>
    <d v="2022-12-27T00:00:00"/>
    <d v="2022-12-30T00:00:00"/>
    <s v="C-6507"/>
    <s v="Grace Williams"/>
    <x v="1"/>
    <x v="3"/>
    <s v="Alabama"/>
    <x v="1"/>
    <x v="5"/>
    <s v="Legal Pad"/>
    <n v="49.03"/>
    <n v="4"/>
    <n v="0.3"/>
    <n v="21.71"/>
    <n v="0.44279012849275956"/>
  </r>
  <r>
    <s v="ORD-10039"/>
    <d v="2023-04-24T00:00:00"/>
    <d v="2023-04-26T00:00:00"/>
    <s v="C-5262"/>
    <s v="Grace Garcia"/>
    <x v="1"/>
    <x v="0"/>
    <s v="Nevada"/>
    <x v="1"/>
    <x v="8"/>
    <s v="Heavy Duty Binder"/>
    <n v="53.56"/>
    <n v="7"/>
    <n v="0.3"/>
    <n v="21.67"/>
    <n v="0.40459297983569831"/>
  </r>
  <r>
    <s v="ORD-10040"/>
    <d v="2022-08-05T00:00:00"/>
    <d v="2022-08-09T00:00:00"/>
    <s v="C-6733"/>
    <s v="David Johnson"/>
    <x v="2"/>
    <x v="2"/>
    <s v="Ohio"/>
    <x v="2"/>
    <x v="9"/>
    <s v="Storage Cabinet"/>
    <n v="191.1"/>
    <n v="2"/>
    <n v="0"/>
    <n v="38.22"/>
    <n v="0.2"/>
  </r>
  <r>
    <s v="ORD-10041"/>
    <d v="2023-10-30T00:00:00"/>
    <d v="2023-10-31T00:00:00"/>
    <s v="C-4571"/>
    <s v="Henry Jones"/>
    <x v="0"/>
    <x v="0"/>
    <s v="Washington"/>
    <x v="0"/>
    <x v="0"/>
    <s v="USB Hub"/>
    <n v="111.63"/>
    <n v="3"/>
    <n v="0"/>
    <n v="34.49"/>
    <n v="0.30896712353310046"/>
  </r>
  <r>
    <s v="ORD-10042"/>
    <d v="2023-01-13T00:00:00"/>
    <d v="2023-01-15T00:00:00"/>
    <s v="C-4249"/>
    <s v="Bob Brown"/>
    <x v="2"/>
    <x v="0"/>
    <s v="Washington"/>
    <x v="0"/>
    <x v="3"/>
    <s v="Samsung Galaxy S22"/>
    <n v="4157.28"/>
    <n v="10"/>
    <n v="0.2"/>
    <n v="1458.53"/>
    <n v="0.35083756687064621"/>
  </r>
  <r>
    <s v="ORD-10043"/>
    <d v="2022-04-15T00:00:00"/>
    <d v="2022-04-21T00:00:00"/>
    <s v="C-6590"/>
    <s v="Alice Martinez"/>
    <x v="1"/>
    <x v="2"/>
    <s v="Texas"/>
    <x v="0"/>
    <x v="6"/>
    <s v="HP Notebook"/>
    <n v="6828.71"/>
    <n v="7"/>
    <n v="0"/>
    <n v="2209.15"/>
    <n v="0.32350912544243349"/>
  </r>
  <r>
    <s v="ORD-10044"/>
    <d v="2023-05-17T00:00:00"/>
    <d v="2023-05-18T00:00:00"/>
    <s v="C-9817"/>
    <s v="Henry Davis"/>
    <x v="1"/>
    <x v="3"/>
    <s v="Tennessee"/>
    <x v="2"/>
    <x v="4"/>
    <s v="Conference Table"/>
    <n v="796.64"/>
    <n v="3"/>
    <n v="0.1"/>
    <n v="235.82"/>
    <n v="0.29601827676240211"/>
  </r>
  <r>
    <s v="ORD-10045"/>
    <d v="2023-03-23T00:00:00"/>
    <d v="2023-03-30T00:00:00"/>
    <s v="C-9098"/>
    <s v="Frank Williams"/>
    <x v="0"/>
    <x v="2"/>
    <s v="Ohio"/>
    <x v="0"/>
    <x v="6"/>
    <s v="MacBook Pro"/>
    <n v="3230.59"/>
    <n v="4"/>
    <n v="0.2"/>
    <n v="1182.08"/>
    <n v="0.36590220362224851"/>
  </r>
  <r>
    <s v="ORD-10046"/>
    <d v="2023-05-15T00:00:00"/>
    <d v="2023-05-17T00:00:00"/>
    <s v="C-7658"/>
    <s v="Henry Brown"/>
    <x v="2"/>
    <x v="2"/>
    <s v="Ohio"/>
    <x v="2"/>
    <x v="7"/>
    <s v="Corner Bookcase"/>
    <n v="123.41"/>
    <n v="1"/>
    <n v="0.05"/>
    <n v="52.89"/>
    <n v="0.4285714285714286"/>
  </r>
  <r>
    <s v="ORD-10047"/>
    <d v="2023-12-09T00:00:00"/>
    <d v="2023-12-13T00:00:00"/>
    <s v="C-7046"/>
    <s v="Henry Garcia"/>
    <x v="0"/>
    <x v="3"/>
    <s v="Alabama"/>
    <x v="0"/>
    <x v="6"/>
    <s v="Dell Laptop"/>
    <n v="6218.79"/>
    <n v="7"/>
    <n v="0.1"/>
    <n v="1766.2"/>
    <n v="0.28401023350201565"/>
  </r>
  <r>
    <s v="ORD-10048"/>
    <d v="2023-03-12T00:00:00"/>
    <d v="2023-03-18T00:00:00"/>
    <s v="C-9779"/>
    <s v="Carol Brown"/>
    <x v="1"/>
    <x v="2"/>
    <s v="Ohio"/>
    <x v="2"/>
    <x v="7"/>
    <s v="3-Shelf Bookcase"/>
    <n v="543.64"/>
    <n v="5"/>
    <n v="0.05"/>
    <n v="201.75"/>
    <n v="0.37110955779560006"/>
  </r>
  <r>
    <s v="ORD-10049"/>
    <d v="2022-08-10T00:00:00"/>
    <d v="2022-08-16T00:00:00"/>
    <s v="C-1231"/>
    <s v="Iris Williams"/>
    <x v="1"/>
    <x v="3"/>
    <s v="Tennessee"/>
    <x v="1"/>
    <x v="10"/>
    <s v="File Box"/>
    <n v="183.87"/>
    <n v="4"/>
    <n v="0.15"/>
    <n v="74.489999999999995"/>
    <n v="0.40512318485886761"/>
  </r>
  <r>
    <s v="ORD-10050"/>
    <d v="2022-10-08T00:00:00"/>
    <d v="2022-10-09T00:00:00"/>
    <s v="C-6582"/>
    <s v="Carol Smith"/>
    <x v="1"/>
    <x v="0"/>
    <s v="Oregon"/>
    <x v="0"/>
    <x v="2"/>
    <s v="Canon Copier"/>
    <n v="248.27"/>
    <n v="1"/>
    <n v="0.3"/>
    <n v="82.01"/>
    <n v="0.33032585491601885"/>
  </r>
  <r>
    <s v="ORD-10051"/>
    <d v="2022-09-16T00:00:00"/>
    <d v="2022-09-23T00:00:00"/>
    <s v="C-5978"/>
    <s v="Bob Brown"/>
    <x v="0"/>
    <x v="3"/>
    <s v="Georgia"/>
    <x v="2"/>
    <x v="9"/>
    <s v="Lamp Set"/>
    <n v="1019.9"/>
    <n v="10"/>
    <n v="0"/>
    <n v="420.27"/>
    <n v="0.41206981076576132"/>
  </r>
  <r>
    <s v="ORD-10052"/>
    <d v="2022-05-02T00:00:00"/>
    <d v="2022-05-07T00:00:00"/>
    <s v="C-1986"/>
    <s v="Jack Johnson"/>
    <x v="1"/>
    <x v="3"/>
    <s v="North Carolina"/>
    <x v="2"/>
    <x v="9"/>
    <s v="Storage Cabinet"/>
    <n v="445.36"/>
    <n v="5"/>
    <n v="0.2"/>
    <n v="166.41"/>
    <n v="0.37365277528291718"/>
  </r>
  <r>
    <s v="ORD-10053"/>
    <d v="2022-08-01T00:00:00"/>
    <d v="2022-08-07T00:00:00"/>
    <s v="C-8381"/>
    <s v="Jack Davis"/>
    <x v="1"/>
    <x v="1"/>
    <s v="Virginia"/>
    <x v="0"/>
    <x v="0"/>
    <s v="USB Hub"/>
    <n v="115.32"/>
    <n v="3"/>
    <n v="0"/>
    <n v="51.82"/>
    <n v="0.44935830731876519"/>
  </r>
  <r>
    <s v="ORD-10054"/>
    <d v="2022-10-26T00:00:00"/>
    <d v="2022-10-27T00:00:00"/>
    <s v="C-9922"/>
    <s v="David Williams"/>
    <x v="1"/>
    <x v="1"/>
    <s v="Virginia"/>
    <x v="2"/>
    <x v="9"/>
    <s v="Lamp Set"/>
    <n v="432.9"/>
    <n v="4"/>
    <n v="0.05"/>
    <n v="148.79"/>
    <n v="0.34370524370524369"/>
  </r>
  <r>
    <s v="ORD-10055"/>
    <d v="2022-09-30T00:00:00"/>
    <d v="2022-10-07T00:00:00"/>
    <s v="C-5982"/>
    <s v="Grace Jones"/>
    <x v="0"/>
    <x v="1"/>
    <s v="New York"/>
    <x v="0"/>
    <x v="6"/>
    <s v="HP Notebook"/>
    <n v="7524.02"/>
    <n v="10"/>
    <n v="0.3"/>
    <n v="3151.9"/>
    <n v="0.41891169879931206"/>
  </r>
  <r>
    <s v="ORD-10056"/>
    <d v="2023-05-28T00:00:00"/>
    <d v="2023-06-02T00:00:00"/>
    <s v="C-1339"/>
    <s v="Eve Smith"/>
    <x v="0"/>
    <x v="3"/>
    <s v="Alabama"/>
    <x v="1"/>
    <x v="8"/>
    <s v="Presentation Binder"/>
    <n v="80.760000000000005"/>
    <n v="6"/>
    <n v="0"/>
    <n v="34.5"/>
    <n v="0.42719167904903416"/>
  </r>
  <r>
    <s v="ORD-10057"/>
    <d v="2022-06-29T00:00:00"/>
    <d v="2022-07-03T00:00:00"/>
    <s v="C-6460"/>
    <s v="Frank Johnson"/>
    <x v="0"/>
    <x v="3"/>
    <s v="Tennessee"/>
    <x v="1"/>
    <x v="1"/>
    <s v="Mini Fridge"/>
    <n v="684.21"/>
    <n v="8"/>
    <n v="0.3"/>
    <n v="248.37"/>
    <n v="0.36300258692506687"/>
  </r>
  <r>
    <s v="ORD-10058"/>
    <d v="2022-06-14T00:00:00"/>
    <d v="2022-06-17T00:00:00"/>
    <s v="C-2899"/>
    <s v="Grace Smith"/>
    <x v="2"/>
    <x v="3"/>
    <s v="Alabama"/>
    <x v="1"/>
    <x v="1"/>
    <s v="Mini Fridge"/>
    <n v="85.16"/>
    <n v="1"/>
    <n v="0.15"/>
    <n v="32.950000000000003"/>
    <n v="0.38691874119304842"/>
  </r>
  <r>
    <s v="ORD-10059"/>
    <d v="2023-11-05T00:00:00"/>
    <d v="2023-11-12T00:00:00"/>
    <s v="C-9998"/>
    <s v="Carol Jones"/>
    <x v="0"/>
    <x v="3"/>
    <s v="Alabama"/>
    <x v="0"/>
    <x v="6"/>
    <s v="HP Notebook"/>
    <n v="7693.76"/>
    <n v="8"/>
    <n v="0"/>
    <n v="3070.66"/>
    <n v="0.3991104479474275"/>
  </r>
  <r>
    <s v="ORD-10060"/>
    <d v="2023-03-25T00:00:00"/>
    <d v="2023-03-31T00:00:00"/>
    <s v="C-2527"/>
    <s v="David Johnson"/>
    <x v="0"/>
    <x v="3"/>
    <s v="Georgia"/>
    <x v="1"/>
    <x v="5"/>
    <s v="Copy Paper"/>
    <n v="53.46"/>
    <n v="3"/>
    <n v="0"/>
    <n v="16.68"/>
    <n v="0.31200897867564531"/>
  </r>
  <r>
    <s v="ORD-10061"/>
    <d v="2023-04-18T00:00:00"/>
    <d v="2023-04-19T00:00:00"/>
    <s v="C-3369"/>
    <s v="Grace Brown"/>
    <x v="1"/>
    <x v="1"/>
    <s v="Florida"/>
    <x v="2"/>
    <x v="7"/>
    <s v="3-Shelf Bookcase"/>
    <n v="1177.47"/>
    <n v="8"/>
    <n v="0.05"/>
    <n v="395.4"/>
    <n v="0.33580473387857013"/>
  </r>
  <r>
    <s v="ORD-10062"/>
    <d v="2023-09-06T00:00:00"/>
    <d v="2023-09-11T00:00:00"/>
    <s v="C-9022"/>
    <s v="Carol Davis"/>
    <x v="2"/>
    <x v="1"/>
    <s v="New York"/>
    <x v="2"/>
    <x v="7"/>
    <s v="Corner Bookcase"/>
    <n v="658.39"/>
    <n v="5"/>
    <n v="0.1"/>
    <n v="176.77"/>
    <n v="0.26848828202129438"/>
  </r>
  <r>
    <s v="ORD-10063"/>
    <d v="2023-07-06T00:00:00"/>
    <d v="2023-07-10T00:00:00"/>
    <s v="C-4826"/>
    <s v="Grace Smith"/>
    <x v="1"/>
    <x v="2"/>
    <s v="Ohio"/>
    <x v="1"/>
    <x v="1"/>
    <s v="Microwave"/>
    <n v="672.2"/>
    <n v="6"/>
    <n v="0.05"/>
    <n v="206.4"/>
    <n v="0.30705147277595951"/>
  </r>
  <r>
    <s v="ORD-10064"/>
    <d v="2022-11-22T00:00:00"/>
    <d v="2022-11-28T00:00:00"/>
    <s v="C-8213"/>
    <s v="Bob Davis"/>
    <x v="2"/>
    <x v="3"/>
    <s v="Alabama"/>
    <x v="1"/>
    <x v="5"/>
    <s v="Legal Pad"/>
    <n v="13.87"/>
    <n v="1"/>
    <n v="0.15"/>
    <n v="3.23"/>
    <n v="0.23287671232876714"/>
  </r>
  <r>
    <s v="ORD-10065"/>
    <d v="2022-01-16T00:00:00"/>
    <d v="2022-01-22T00:00:00"/>
    <s v="C-6383"/>
    <s v="Iris Martinez"/>
    <x v="1"/>
    <x v="1"/>
    <s v="Florida"/>
    <x v="0"/>
    <x v="3"/>
    <s v="Samsung Galaxy S22"/>
    <n v="1804.24"/>
    <n v="5"/>
    <n v="0.2"/>
    <n v="518.79"/>
    <n v="0.28753935174921297"/>
  </r>
  <r>
    <s v="ORD-10066"/>
    <d v="2022-11-21T00:00:00"/>
    <d v="2022-11-27T00:00:00"/>
    <s v="C-2612"/>
    <s v="Bob Davis"/>
    <x v="1"/>
    <x v="3"/>
    <s v="Georgia"/>
    <x v="0"/>
    <x v="0"/>
    <s v="Keyboard"/>
    <n v="227.3"/>
    <n v="5"/>
    <n v="0"/>
    <n v="77.62"/>
    <n v="0.34148702155741312"/>
  </r>
  <r>
    <s v="ORD-10067"/>
    <d v="2022-06-20T00:00:00"/>
    <d v="2022-06-26T00:00:00"/>
    <s v="C-7751"/>
    <s v="Jack Williams"/>
    <x v="0"/>
    <x v="2"/>
    <s v="Texas"/>
    <x v="2"/>
    <x v="11"/>
    <s v="Executive Chair"/>
    <n v="1100.1600000000001"/>
    <n v="6"/>
    <n v="0"/>
    <n v="427.91"/>
    <n v="0.38895251599767305"/>
  </r>
  <r>
    <s v="ORD-10068"/>
    <d v="2022-06-24T00:00:00"/>
    <d v="2022-06-26T00:00:00"/>
    <s v="C-8529"/>
    <s v="Eve Smith"/>
    <x v="1"/>
    <x v="0"/>
    <s v="Nevada"/>
    <x v="1"/>
    <x v="5"/>
    <s v="Legal Pad"/>
    <n v="115.22"/>
    <n v="10"/>
    <n v="0.3"/>
    <n v="33.47"/>
    <n v="0.29048776254122549"/>
  </r>
  <r>
    <s v="ORD-10069"/>
    <d v="2023-04-22T00:00:00"/>
    <d v="2023-04-25T00:00:00"/>
    <s v="C-4263"/>
    <s v="Grace Davis"/>
    <x v="2"/>
    <x v="1"/>
    <s v="New York"/>
    <x v="2"/>
    <x v="7"/>
    <s v="Corner Bookcase"/>
    <n v="682.47"/>
    <n v="7"/>
    <n v="0.3"/>
    <n v="162.88999999999999"/>
    <n v="0.23867715797031369"/>
  </r>
  <r>
    <s v="ORD-10070"/>
    <d v="2022-04-20T00:00:00"/>
    <d v="2022-04-22T00:00:00"/>
    <s v="C-9138"/>
    <s v="Eve Brown"/>
    <x v="1"/>
    <x v="3"/>
    <s v="Tennessee"/>
    <x v="2"/>
    <x v="7"/>
    <s v="5-Shelf Bookcase"/>
    <n v="817.74"/>
    <n v="7"/>
    <n v="0"/>
    <n v="181.82"/>
    <n v="0.2223445104801037"/>
  </r>
  <r>
    <s v="ORD-10071"/>
    <d v="2023-09-14T00:00:00"/>
    <d v="2023-09-21T00:00:00"/>
    <s v="C-8222"/>
    <s v="Alice Garcia"/>
    <x v="1"/>
    <x v="2"/>
    <s v="Illinois"/>
    <x v="0"/>
    <x v="6"/>
    <s v="HP Notebook"/>
    <n v="2888.4"/>
    <n v="3"/>
    <n v="0"/>
    <n v="1076.7"/>
    <n v="0.37276692978811798"/>
  </r>
  <r>
    <s v="ORD-10072"/>
    <d v="2022-05-15T00:00:00"/>
    <d v="2022-05-16T00:00:00"/>
    <s v="C-5465"/>
    <s v="Carol Jones"/>
    <x v="1"/>
    <x v="2"/>
    <s v="Ohio"/>
    <x v="2"/>
    <x v="4"/>
    <s v="Standing Desk"/>
    <n v="767.5"/>
    <n v="3"/>
    <n v="0.15"/>
    <n v="243.52"/>
    <n v="0.31728990228013032"/>
  </r>
  <r>
    <s v="ORD-10073"/>
    <d v="2023-05-09T00:00:00"/>
    <d v="2023-05-16T00:00:00"/>
    <s v="C-6992"/>
    <s v="Bob Martinez"/>
    <x v="0"/>
    <x v="2"/>
    <s v="Ohio"/>
    <x v="2"/>
    <x v="11"/>
    <s v="Mesh Chair"/>
    <n v="712.54"/>
    <n v="4"/>
    <n v="0.2"/>
    <n v="148.34"/>
    <n v="0.20818480366014541"/>
  </r>
  <r>
    <s v="ORD-10074"/>
    <d v="2022-01-15T00:00:00"/>
    <d v="2022-01-18T00:00:00"/>
    <s v="C-4830"/>
    <s v="Henry Smith"/>
    <x v="2"/>
    <x v="0"/>
    <s v="Nevada"/>
    <x v="1"/>
    <x v="10"/>
    <s v="Filing Cabinet"/>
    <n v="399.24"/>
    <n v="7"/>
    <n v="0.15"/>
    <n v="168.84"/>
    <n v="0.42290351668169524"/>
  </r>
  <r>
    <s v="ORD-10075"/>
    <d v="2023-09-27T00:00:00"/>
    <d v="2023-10-02T00:00:00"/>
    <s v="C-1609"/>
    <s v="Eve Davis"/>
    <x v="1"/>
    <x v="2"/>
    <s v="Illinois"/>
    <x v="0"/>
    <x v="2"/>
    <s v="Brother Printer"/>
    <n v="1827.45"/>
    <n v="5"/>
    <n v="0"/>
    <n v="758.49"/>
    <n v="0.4150537634408602"/>
  </r>
  <r>
    <s v="ORD-10076"/>
    <d v="2022-04-29T00:00:00"/>
    <d v="2022-04-30T00:00:00"/>
    <s v="C-2622"/>
    <s v="Henry Martinez"/>
    <x v="2"/>
    <x v="1"/>
    <s v="Pennsylvania"/>
    <x v="2"/>
    <x v="7"/>
    <s v="Corner Bookcase"/>
    <n v="1121.67"/>
    <n v="9"/>
    <n v="0"/>
    <n v="256.47000000000003"/>
    <n v="0.22865013774104684"/>
  </r>
  <r>
    <s v="ORD-10077"/>
    <d v="2022-10-14T00:00:00"/>
    <d v="2022-10-15T00:00:00"/>
    <s v="C-6876"/>
    <s v="Alice Martinez"/>
    <x v="2"/>
    <x v="2"/>
    <s v="Illinois"/>
    <x v="2"/>
    <x v="4"/>
    <s v="Conference Table"/>
    <n v="548.85"/>
    <n v="2"/>
    <n v="0.15"/>
    <n v="172.27"/>
    <n v="0.31387446479001552"/>
  </r>
  <r>
    <s v="ORD-10078"/>
    <d v="2022-10-10T00:00:00"/>
    <d v="2022-10-12T00:00:00"/>
    <s v="C-4990"/>
    <s v="Carol Brown"/>
    <x v="0"/>
    <x v="0"/>
    <s v="Nevada"/>
    <x v="1"/>
    <x v="5"/>
    <s v="Copy Paper"/>
    <n v="231.7"/>
    <n v="10"/>
    <n v="0"/>
    <n v="58.69"/>
    <n v="0.25330168321104879"/>
  </r>
  <r>
    <s v="ORD-10079"/>
    <d v="2022-03-12T00:00:00"/>
    <d v="2022-03-19T00:00:00"/>
    <s v="C-9850"/>
    <s v="Eve Williams"/>
    <x v="0"/>
    <x v="1"/>
    <s v="Pennsylvania"/>
    <x v="2"/>
    <x v="4"/>
    <s v="Side Table"/>
    <n v="243.69"/>
    <n v="1"/>
    <n v="0"/>
    <n v="49.5"/>
    <n v="0.20312692355041242"/>
  </r>
  <r>
    <s v="ORD-10080"/>
    <d v="2022-04-23T00:00:00"/>
    <d v="2022-04-29T00:00:00"/>
    <s v="C-7897"/>
    <s v="Iris Johnson"/>
    <x v="0"/>
    <x v="0"/>
    <s v="Washington"/>
    <x v="2"/>
    <x v="4"/>
    <s v="Side Table"/>
    <n v="1157.1099999999999"/>
    <n v="6"/>
    <n v="0.1"/>
    <n v="505.54"/>
    <n v="0.43689882552220627"/>
  </r>
  <r>
    <s v="ORD-10081"/>
    <d v="2022-03-07T00:00:00"/>
    <d v="2022-03-11T00:00:00"/>
    <s v="C-9543"/>
    <s v="Eve Davis"/>
    <x v="1"/>
    <x v="3"/>
    <s v="Tennessee"/>
    <x v="1"/>
    <x v="8"/>
    <s v="Presentation Binder"/>
    <n v="102.6"/>
    <n v="9"/>
    <n v="0"/>
    <n v="27.52"/>
    <n v="0.26822612085769981"/>
  </r>
  <r>
    <s v="ORD-10082"/>
    <d v="2023-10-21T00:00:00"/>
    <d v="2023-10-22T00:00:00"/>
    <s v="C-3430"/>
    <s v="Bob Williams"/>
    <x v="2"/>
    <x v="0"/>
    <s v="Nevada"/>
    <x v="2"/>
    <x v="11"/>
    <s v="Executive Chair"/>
    <n v="1271.5999999999999"/>
    <n v="8"/>
    <n v="0"/>
    <n v="469.82"/>
    <n v="0.36947153192827936"/>
  </r>
  <r>
    <s v="ORD-10083"/>
    <d v="2022-10-09T00:00:00"/>
    <d v="2022-10-14T00:00:00"/>
    <s v="C-2874"/>
    <s v="Iris Brown"/>
    <x v="1"/>
    <x v="2"/>
    <s v="Michigan"/>
    <x v="1"/>
    <x v="10"/>
    <s v="Storage Bin"/>
    <n v="555.57000000000005"/>
    <n v="9"/>
    <n v="0"/>
    <n v="139.85"/>
    <n v="0.25172345519016504"/>
  </r>
  <r>
    <s v="ORD-10084"/>
    <d v="2023-03-17T00:00:00"/>
    <d v="2023-03-21T00:00:00"/>
    <s v="C-7132"/>
    <s v="Carol Davis"/>
    <x v="2"/>
    <x v="1"/>
    <s v="Florida"/>
    <x v="2"/>
    <x v="9"/>
    <s v="Storage Cabinet"/>
    <n v="151.57"/>
    <n v="2"/>
    <n v="0.15"/>
    <n v="43"/>
    <n v="0.28369730157682921"/>
  </r>
  <r>
    <s v="ORD-10085"/>
    <d v="2022-03-10T00:00:00"/>
    <d v="2022-03-11T00:00:00"/>
    <s v="C-7730"/>
    <s v="Frank Martinez"/>
    <x v="2"/>
    <x v="0"/>
    <s v="California"/>
    <x v="0"/>
    <x v="6"/>
    <s v="Dell Laptop"/>
    <n v="5702.62"/>
    <n v="9"/>
    <n v="0.15"/>
    <n v="1610.97"/>
    <n v="0.28249646653643412"/>
  </r>
  <r>
    <s v="ORD-10086"/>
    <d v="2022-02-22T00:00:00"/>
    <d v="2022-02-25T00:00:00"/>
    <s v="C-7022"/>
    <s v="Bob Jones"/>
    <x v="0"/>
    <x v="2"/>
    <s v="Ohio"/>
    <x v="1"/>
    <x v="5"/>
    <s v="A4 Ream"/>
    <n v="136.96"/>
    <n v="8"/>
    <n v="0"/>
    <n v="49.64"/>
    <n v="0.36244158878504673"/>
  </r>
  <r>
    <s v="ORD-10087"/>
    <d v="2023-08-11T00:00:00"/>
    <d v="2023-08-13T00:00:00"/>
    <s v="C-6751"/>
    <s v="Alice Williams"/>
    <x v="1"/>
    <x v="3"/>
    <s v="Georgia"/>
    <x v="1"/>
    <x v="10"/>
    <s v="File Box"/>
    <n v="144.47999999999999"/>
    <n v="3"/>
    <n v="0.1"/>
    <n v="31.73"/>
    <n v="0.2196151716500554"/>
  </r>
  <r>
    <s v="ORD-10088"/>
    <d v="2022-05-27T00:00:00"/>
    <d v="2022-06-01T00:00:00"/>
    <s v="C-3578"/>
    <s v="Frank Jones"/>
    <x v="0"/>
    <x v="3"/>
    <s v="Georgia"/>
    <x v="1"/>
    <x v="8"/>
    <s v="Heavy Duty Binder"/>
    <n v="81.790000000000006"/>
    <n v="9"/>
    <n v="0.2"/>
    <n v="27.53"/>
    <n v="0.33659371561315565"/>
  </r>
  <r>
    <s v="ORD-10089"/>
    <d v="2022-11-29T00:00:00"/>
    <d v="2022-12-06T00:00:00"/>
    <s v="C-8242"/>
    <s v="Grace Jones"/>
    <x v="0"/>
    <x v="0"/>
    <s v="California"/>
    <x v="0"/>
    <x v="3"/>
    <s v="Pixel 6"/>
    <n v="700.16"/>
    <n v="2"/>
    <n v="0.2"/>
    <n v="230.06"/>
    <n v="0.32858203839122491"/>
  </r>
  <r>
    <s v="ORD-10090"/>
    <d v="2022-08-09T00:00:00"/>
    <d v="2022-08-16T00:00:00"/>
    <s v="C-7475"/>
    <s v="Jack Smith"/>
    <x v="2"/>
    <x v="0"/>
    <s v="Oregon"/>
    <x v="0"/>
    <x v="6"/>
    <s v="HP Notebook"/>
    <n v="8177.76"/>
    <n v="10"/>
    <n v="0.1"/>
    <n v="3587.14"/>
    <n v="0.43864579053432723"/>
  </r>
  <r>
    <s v="ORD-10091"/>
    <d v="2022-01-08T00:00:00"/>
    <d v="2022-01-10T00:00:00"/>
    <s v="C-7229"/>
    <s v="Iris Brown"/>
    <x v="0"/>
    <x v="2"/>
    <s v="Illinois"/>
    <x v="2"/>
    <x v="7"/>
    <s v="3-Shelf Bookcase"/>
    <n v="163.87"/>
    <n v="2"/>
    <n v="0.2"/>
    <n v="66.540000000000006"/>
    <n v="0.40605357905656925"/>
  </r>
  <r>
    <s v="ORD-10092"/>
    <d v="2023-05-28T00:00:00"/>
    <d v="2023-06-02T00:00:00"/>
    <s v="C-8033"/>
    <s v="Jack Martinez"/>
    <x v="2"/>
    <x v="2"/>
    <s v="Texas"/>
    <x v="1"/>
    <x v="8"/>
    <s v="Presentation Binder"/>
    <n v="12.68"/>
    <n v="1"/>
    <n v="0"/>
    <n v="2.97"/>
    <n v="0.23422712933753945"/>
  </r>
  <r>
    <s v="ORD-10093"/>
    <d v="2023-12-28T00:00:00"/>
    <d v="2024-01-03T00:00:00"/>
    <s v="C-6928"/>
    <s v="Bob Martinez"/>
    <x v="0"/>
    <x v="3"/>
    <s v="Tennessee"/>
    <x v="2"/>
    <x v="11"/>
    <s v="Executive Chair"/>
    <n v="457.61"/>
    <n v="3"/>
    <n v="0.3"/>
    <n v="110.74"/>
    <n v="0.24199645986757282"/>
  </r>
  <r>
    <s v="ORD-10094"/>
    <d v="2022-04-19T00:00:00"/>
    <d v="2022-04-21T00:00:00"/>
    <s v="C-2868"/>
    <s v="Iris Brown"/>
    <x v="1"/>
    <x v="3"/>
    <s v="Alabama"/>
    <x v="0"/>
    <x v="2"/>
    <s v="Xerox MX"/>
    <n v="1823.46"/>
    <n v="6"/>
    <n v="0"/>
    <n v="785.74"/>
    <n v="0.43090607965077382"/>
  </r>
  <r>
    <s v="ORD-10095"/>
    <d v="2022-12-24T00:00:00"/>
    <d v="2022-12-27T00:00:00"/>
    <s v="C-9095"/>
    <s v="Henry Davis"/>
    <x v="0"/>
    <x v="1"/>
    <s v="Pennsylvania"/>
    <x v="0"/>
    <x v="6"/>
    <s v="Dell Laptop"/>
    <n v="2858.76"/>
    <n v="3"/>
    <n v="0"/>
    <n v="1159.8399999999999"/>
    <n v="0.4057143656690313"/>
  </r>
  <r>
    <s v="ORD-10096"/>
    <d v="2023-11-29T00:00:00"/>
    <d v="2023-12-04T00:00:00"/>
    <s v="C-6766"/>
    <s v="Iris Johnson"/>
    <x v="0"/>
    <x v="2"/>
    <s v="Ohio"/>
    <x v="2"/>
    <x v="11"/>
    <s v="Executive Chair"/>
    <n v="1469.81"/>
    <n v="8"/>
    <n v="0.1"/>
    <n v="444.1"/>
    <n v="0.30214789666691616"/>
  </r>
  <r>
    <s v="ORD-10097"/>
    <d v="2022-11-14T00:00:00"/>
    <d v="2022-11-18T00:00:00"/>
    <s v="C-1672"/>
    <s v="Henry Brown"/>
    <x v="0"/>
    <x v="3"/>
    <s v="Georgia"/>
    <x v="2"/>
    <x v="7"/>
    <s v="5-Shelf Bookcase"/>
    <n v="216.34"/>
    <n v="2"/>
    <n v="0.2"/>
    <n v="72.33"/>
    <n v="0.33433484330220947"/>
  </r>
  <r>
    <s v="ORD-10098"/>
    <d v="2022-11-26T00:00:00"/>
    <d v="2022-12-01T00:00:00"/>
    <s v="C-8172"/>
    <s v="Henry Williams"/>
    <x v="0"/>
    <x v="3"/>
    <s v="North Carolina"/>
    <x v="2"/>
    <x v="11"/>
    <s v="Executive Chair"/>
    <n v="387.74"/>
    <n v="2"/>
    <n v="0"/>
    <n v="170.69"/>
    <n v="0.44021767163563214"/>
  </r>
  <r>
    <s v="ORD-10099"/>
    <d v="2023-01-08T00:00:00"/>
    <d v="2023-01-11T00:00:00"/>
    <s v="C-7333"/>
    <s v="Eve Jones"/>
    <x v="2"/>
    <x v="2"/>
    <s v="Michigan"/>
    <x v="2"/>
    <x v="11"/>
    <s v="Folding Chair"/>
    <n v="950.04"/>
    <n v="6"/>
    <n v="0"/>
    <n v="295"/>
    <n v="0.31051324154772431"/>
  </r>
  <r>
    <s v="ORD-10100"/>
    <d v="2023-11-04T00:00:00"/>
    <d v="2023-11-09T00:00:00"/>
    <s v="C-2388"/>
    <s v="Eve Martinez"/>
    <x v="0"/>
    <x v="1"/>
    <s v="Virginia"/>
    <x v="1"/>
    <x v="5"/>
    <s v="Legal Pad"/>
    <n v="92.56"/>
    <n v="5"/>
    <n v="0.2"/>
    <n v="38.67"/>
    <n v="0.41778305963699225"/>
  </r>
  <r>
    <s v="ORD-10101"/>
    <d v="2023-10-21T00:00:00"/>
    <d v="2023-10-28T00:00:00"/>
    <s v="C-3953"/>
    <s v="David Garcia"/>
    <x v="1"/>
    <x v="2"/>
    <s v="Illinois"/>
    <x v="1"/>
    <x v="8"/>
    <s v="Ring Binder"/>
    <n v="90.65"/>
    <n v="7"/>
    <n v="0"/>
    <n v="32.58"/>
    <n v="0.3594043022614451"/>
  </r>
  <r>
    <s v="ORD-10102"/>
    <d v="2023-05-13T00:00:00"/>
    <d v="2023-05-15T00:00:00"/>
    <s v="C-3147"/>
    <s v="Jack Martinez"/>
    <x v="0"/>
    <x v="1"/>
    <s v="Pennsylvania"/>
    <x v="0"/>
    <x v="6"/>
    <s v="Dell Laptop"/>
    <n v="9156.24"/>
    <n v="9"/>
    <n v="0"/>
    <n v="2605.11"/>
    <n v="0.2845174438415769"/>
  </r>
  <r>
    <s v="ORD-10103"/>
    <d v="2022-06-07T00:00:00"/>
    <d v="2022-06-09T00:00:00"/>
    <s v="C-5668"/>
    <s v="Henry Brown"/>
    <x v="1"/>
    <x v="1"/>
    <s v="Pennsylvania"/>
    <x v="2"/>
    <x v="11"/>
    <s v="Executive Chair"/>
    <n v="1184.4000000000001"/>
    <n v="6"/>
    <n v="0.05"/>
    <n v="245.88"/>
    <n v="0.20759878419452885"/>
  </r>
  <r>
    <s v="ORD-10104"/>
    <d v="2023-07-01T00:00:00"/>
    <d v="2023-07-03T00:00:00"/>
    <s v="C-4271"/>
    <s v="Jack Williams"/>
    <x v="0"/>
    <x v="2"/>
    <s v="Michigan"/>
    <x v="2"/>
    <x v="9"/>
    <s v="Storage Cabinet"/>
    <n v="432.04"/>
    <n v="5"/>
    <n v="0.2"/>
    <n v="90.05"/>
    <n v="0.20842977502083138"/>
  </r>
  <r>
    <s v="ORD-10105"/>
    <d v="2022-09-14T00:00:00"/>
    <d v="2022-09-15T00:00:00"/>
    <s v="C-9410"/>
    <s v="Carol Martinez"/>
    <x v="1"/>
    <x v="3"/>
    <s v="Tennessee"/>
    <x v="0"/>
    <x v="3"/>
    <s v="Samsung Galaxy S22"/>
    <n v="966.65"/>
    <n v="2"/>
    <n v="0.1"/>
    <n v="326.41000000000003"/>
    <n v="0.33767133916102005"/>
  </r>
  <r>
    <s v="ORD-10106"/>
    <d v="2022-04-04T00:00:00"/>
    <d v="2022-04-06T00:00:00"/>
    <s v="C-7142"/>
    <s v="David Smith"/>
    <x v="0"/>
    <x v="3"/>
    <s v="Tennessee"/>
    <x v="2"/>
    <x v="11"/>
    <s v="Executive Chair"/>
    <n v="1319.69"/>
    <n v="9"/>
    <n v="0.2"/>
    <n v="265.74"/>
    <n v="0.20136547219422743"/>
  </r>
  <r>
    <s v="ORD-10107"/>
    <d v="2022-11-23T00:00:00"/>
    <d v="2022-11-24T00:00:00"/>
    <s v="C-1086"/>
    <s v="Bob Smith"/>
    <x v="0"/>
    <x v="2"/>
    <s v="Illinois"/>
    <x v="0"/>
    <x v="6"/>
    <s v="MacBook Pro"/>
    <n v="2126.8000000000002"/>
    <n v="3"/>
    <n v="0.3"/>
    <n v="718.54"/>
    <n v="0.33785029151777313"/>
  </r>
  <r>
    <s v="ORD-10108"/>
    <d v="2022-09-20T00:00:00"/>
    <d v="2022-09-22T00:00:00"/>
    <s v="C-8489"/>
    <s v="Bob Johnson"/>
    <x v="0"/>
    <x v="1"/>
    <s v="Florida"/>
    <x v="2"/>
    <x v="4"/>
    <s v="Conference Table"/>
    <n v="348.59"/>
    <n v="2"/>
    <n v="0.2"/>
    <n v="101.18"/>
    <n v="0.29025502739608139"/>
  </r>
  <r>
    <s v="ORD-10109"/>
    <d v="2023-05-27T00:00:00"/>
    <d v="2023-06-01T00:00:00"/>
    <s v="C-4068"/>
    <s v="Bob Garcia"/>
    <x v="1"/>
    <x v="0"/>
    <s v="Washington"/>
    <x v="0"/>
    <x v="6"/>
    <s v="MacBook Pro"/>
    <n v="909.78"/>
    <n v="1"/>
    <n v="0.05"/>
    <n v="279.61"/>
    <n v="0.30733803776737234"/>
  </r>
  <r>
    <s v="ORD-10110"/>
    <d v="2022-03-11T00:00:00"/>
    <d v="2022-03-16T00:00:00"/>
    <s v="C-6649"/>
    <s v="David Johnson"/>
    <x v="2"/>
    <x v="0"/>
    <s v="Nevada"/>
    <x v="0"/>
    <x v="2"/>
    <s v="Xerox MX"/>
    <n v="1613.34"/>
    <n v="5"/>
    <n v="0.15"/>
    <n v="407.97"/>
    <n v="0.25287292201271899"/>
  </r>
  <r>
    <s v="ORD-10111"/>
    <d v="2023-08-19T00:00:00"/>
    <d v="2023-08-25T00:00:00"/>
    <s v="C-8840"/>
    <s v="Carol Williams"/>
    <x v="0"/>
    <x v="2"/>
    <s v="Illinois"/>
    <x v="2"/>
    <x v="7"/>
    <s v="Corner Bookcase"/>
    <n v="308.36"/>
    <n v="3"/>
    <n v="0.3"/>
    <n v="63.15"/>
    <n v="0.20479309897522374"/>
  </r>
  <r>
    <s v="ORD-10112"/>
    <d v="2022-03-06T00:00:00"/>
    <d v="2022-03-12T00:00:00"/>
    <s v="C-9897"/>
    <s v="Henry Jones"/>
    <x v="2"/>
    <x v="3"/>
    <s v="Georgia"/>
    <x v="0"/>
    <x v="3"/>
    <s v="iPhone 13"/>
    <n v="401.77"/>
    <n v="1"/>
    <n v="0.1"/>
    <n v="129.03"/>
    <n v="0.3211538940189661"/>
  </r>
  <r>
    <s v="ORD-10113"/>
    <d v="2022-02-07T00:00:00"/>
    <d v="2022-02-14T00:00:00"/>
    <s v="C-8204"/>
    <s v="Grace Garcia"/>
    <x v="2"/>
    <x v="1"/>
    <s v="Virginia"/>
    <x v="0"/>
    <x v="6"/>
    <s v="MacBook Pro"/>
    <n v="1645.2"/>
    <n v="2"/>
    <n v="0.2"/>
    <n v="374.49"/>
    <n v="0.2276258205689278"/>
  </r>
  <r>
    <s v="ORD-10114"/>
    <d v="2022-07-11T00:00:00"/>
    <d v="2022-07-15T00:00:00"/>
    <s v="C-6262"/>
    <s v="Bob Johnson"/>
    <x v="1"/>
    <x v="3"/>
    <s v="Tennessee"/>
    <x v="2"/>
    <x v="11"/>
    <s v="Folding Chair"/>
    <n v="1115.73"/>
    <n v="7"/>
    <n v="0"/>
    <n v="349.93"/>
    <n v="0.31363322667670496"/>
  </r>
  <r>
    <s v="ORD-10115"/>
    <d v="2022-12-02T00:00:00"/>
    <d v="2022-12-08T00:00:00"/>
    <s v="C-6776"/>
    <s v="Jack Martinez"/>
    <x v="2"/>
    <x v="2"/>
    <s v="Ohio"/>
    <x v="1"/>
    <x v="1"/>
    <s v="Coffee Maker"/>
    <n v="766.24"/>
    <n v="8"/>
    <n v="0"/>
    <n v="205.58"/>
    <n v="0.26829713927751098"/>
  </r>
  <r>
    <s v="ORD-10116"/>
    <d v="2022-10-09T00:00:00"/>
    <d v="2022-10-15T00:00:00"/>
    <s v="C-3339"/>
    <s v="Jack Davis"/>
    <x v="1"/>
    <x v="0"/>
    <s v="California"/>
    <x v="1"/>
    <x v="1"/>
    <s v="Microwave"/>
    <n v="1035"/>
    <n v="9"/>
    <n v="0"/>
    <n v="219.22"/>
    <n v="0.21180676328502415"/>
  </r>
  <r>
    <s v="ORD-10117"/>
    <d v="2022-02-05T00:00:00"/>
    <d v="2022-02-07T00:00:00"/>
    <s v="C-7077"/>
    <s v="Frank Davis"/>
    <x v="1"/>
    <x v="0"/>
    <s v="Washington"/>
    <x v="2"/>
    <x v="7"/>
    <s v="3-Shelf Bookcase"/>
    <n v="1037.5"/>
    <n v="10"/>
    <n v="0"/>
    <n v="290.74"/>
    <n v="0.28023132530120481"/>
  </r>
  <r>
    <s v="ORD-10118"/>
    <d v="2022-03-20T00:00:00"/>
    <d v="2022-03-25T00:00:00"/>
    <s v="C-7340"/>
    <s v="Iris Johnson"/>
    <x v="2"/>
    <x v="1"/>
    <s v="Virginia"/>
    <x v="2"/>
    <x v="7"/>
    <s v="5-Shelf Bookcase"/>
    <n v="206.8"/>
    <n v="2"/>
    <n v="0"/>
    <n v="67.260000000000005"/>
    <n v="0.32524177949709865"/>
  </r>
  <r>
    <s v="ORD-10119"/>
    <d v="2022-09-26T00:00:00"/>
    <d v="2022-10-03T00:00:00"/>
    <s v="C-8406"/>
    <s v="Carol Davis"/>
    <x v="0"/>
    <x v="2"/>
    <s v="Michigan"/>
    <x v="1"/>
    <x v="10"/>
    <s v="Filing Cabinet"/>
    <n v="413.6"/>
    <n v="8"/>
    <n v="0"/>
    <n v="97.94"/>
    <n v="0.2367988394584139"/>
  </r>
  <r>
    <s v="ORD-10120"/>
    <d v="2022-03-31T00:00:00"/>
    <d v="2022-04-07T00:00:00"/>
    <s v="C-9335"/>
    <s v="David Johnson"/>
    <x v="1"/>
    <x v="2"/>
    <s v="Ohio"/>
    <x v="0"/>
    <x v="6"/>
    <s v="MacBook Pro"/>
    <n v="2984.31"/>
    <n v="3"/>
    <n v="0"/>
    <n v="750.78"/>
    <n v="0.25157574112608944"/>
  </r>
  <r>
    <s v="ORD-10121"/>
    <d v="2022-07-25T00:00:00"/>
    <d v="2022-08-01T00:00:00"/>
    <s v="C-2412"/>
    <s v="Bob Jones"/>
    <x v="2"/>
    <x v="1"/>
    <s v="Pennsylvania"/>
    <x v="0"/>
    <x v="6"/>
    <s v="HP Notebook"/>
    <n v="8636.1"/>
    <n v="10"/>
    <n v="0"/>
    <n v="2565.0300000000002"/>
    <n v="0.29701254038281172"/>
  </r>
  <r>
    <s v="ORD-10122"/>
    <d v="2023-02-12T00:00:00"/>
    <d v="2023-02-18T00:00:00"/>
    <s v="C-9476"/>
    <s v="Frank Williams"/>
    <x v="2"/>
    <x v="3"/>
    <s v="Alabama"/>
    <x v="1"/>
    <x v="8"/>
    <s v="Heavy Duty Binder"/>
    <n v="57.41"/>
    <n v="6"/>
    <n v="0.3"/>
    <n v="19.149999999999999"/>
    <n v="0.33356558090924926"/>
  </r>
  <r>
    <s v="ORD-10123"/>
    <d v="2023-07-19T00:00:00"/>
    <d v="2023-07-25T00:00:00"/>
    <s v="C-4694"/>
    <s v="Frank Jones"/>
    <x v="2"/>
    <x v="1"/>
    <s v="Pennsylvania"/>
    <x v="1"/>
    <x v="8"/>
    <s v="Heavy Duty Binder"/>
    <n v="99.27"/>
    <n v="9"/>
    <n v="0"/>
    <n v="40.65"/>
    <n v="0.40948927168328803"/>
  </r>
  <r>
    <s v="ORD-10124"/>
    <d v="2022-03-22T00:00:00"/>
    <d v="2022-03-25T00:00:00"/>
    <s v="C-3526"/>
    <s v="Carol Garcia"/>
    <x v="0"/>
    <x v="1"/>
    <s v="Virginia"/>
    <x v="1"/>
    <x v="10"/>
    <s v="Filing Cabinet"/>
    <n v="441.54"/>
    <n v="9"/>
    <n v="0"/>
    <n v="133.37"/>
    <n v="0.30205643882773925"/>
  </r>
  <r>
    <s v="ORD-10125"/>
    <d v="2023-08-01T00:00:00"/>
    <d v="2023-08-02T00:00:00"/>
    <s v="C-1496"/>
    <s v="Henry Jones"/>
    <x v="0"/>
    <x v="0"/>
    <s v="California"/>
    <x v="1"/>
    <x v="10"/>
    <s v="Filing Cabinet"/>
    <n v="210.34"/>
    <n v="4"/>
    <n v="0.2"/>
    <n v="62.15"/>
    <n v="0.2954739944851193"/>
  </r>
  <r>
    <s v="ORD-10126"/>
    <d v="2023-10-20T00:00:00"/>
    <d v="2023-10-23T00:00:00"/>
    <s v="C-8933"/>
    <s v="Henry Brown"/>
    <x v="1"/>
    <x v="3"/>
    <s v="North Carolina"/>
    <x v="2"/>
    <x v="7"/>
    <s v="3-Shelf Bookcase"/>
    <n v="278.38"/>
    <n v="2"/>
    <n v="0"/>
    <n v="94.68"/>
    <n v="0.34011064013219344"/>
  </r>
  <r>
    <s v="ORD-10127"/>
    <d v="2022-12-15T00:00:00"/>
    <d v="2022-12-20T00:00:00"/>
    <s v="C-8642"/>
    <s v="Bob Jones"/>
    <x v="1"/>
    <x v="1"/>
    <s v="Virginia"/>
    <x v="2"/>
    <x v="7"/>
    <s v="3-Shelf Bookcase"/>
    <n v="429.24"/>
    <n v="3"/>
    <n v="0"/>
    <n v="158.91"/>
    <n v="0.37021246854906342"/>
  </r>
  <r>
    <s v="ORD-10128"/>
    <d v="2023-04-06T00:00:00"/>
    <d v="2023-04-08T00:00:00"/>
    <s v="C-6123"/>
    <s v="David Williams"/>
    <x v="0"/>
    <x v="1"/>
    <s v="New York"/>
    <x v="2"/>
    <x v="9"/>
    <s v="Whiteboard"/>
    <n v="605.85"/>
    <n v="7"/>
    <n v="0"/>
    <n v="149.41999999999999"/>
    <n v="0.24662870347445734"/>
  </r>
  <r>
    <s v="ORD-10129"/>
    <d v="2023-05-26T00:00:00"/>
    <d v="2023-05-31T00:00:00"/>
    <s v="C-6781"/>
    <s v="Alice Smith"/>
    <x v="2"/>
    <x v="3"/>
    <s v="Alabama"/>
    <x v="2"/>
    <x v="11"/>
    <s v="Mesh Chair"/>
    <n v="1289.7"/>
    <n v="7"/>
    <n v="0.05"/>
    <n v="511"/>
    <n v="0.39621617430410172"/>
  </r>
  <r>
    <s v="ORD-10130"/>
    <d v="2022-10-16T00:00:00"/>
    <d v="2022-10-20T00:00:00"/>
    <s v="C-6995"/>
    <s v="Alice Martinez"/>
    <x v="1"/>
    <x v="3"/>
    <s v="Tennessee"/>
    <x v="0"/>
    <x v="3"/>
    <s v="Samsung Galaxy S22"/>
    <n v="1431.06"/>
    <n v="3"/>
    <n v="0.15"/>
    <n v="370.7"/>
    <n v="0.259038754489679"/>
  </r>
  <r>
    <s v="ORD-10131"/>
    <d v="2022-02-22T00:00:00"/>
    <d v="2022-02-27T00:00:00"/>
    <s v="C-2946"/>
    <s v="Carol Johnson"/>
    <x v="1"/>
    <x v="1"/>
    <s v="Virginia"/>
    <x v="2"/>
    <x v="11"/>
    <s v="Executive Chair"/>
    <n v="1534.79"/>
    <n v="9"/>
    <n v="0.1"/>
    <n v="373.99"/>
    <n v="0.24367503046019326"/>
  </r>
  <r>
    <s v="ORD-10132"/>
    <d v="2023-02-08T00:00:00"/>
    <d v="2023-02-11T00:00:00"/>
    <s v="C-8761"/>
    <s v="Iris Davis"/>
    <x v="0"/>
    <x v="2"/>
    <s v="Ohio"/>
    <x v="0"/>
    <x v="2"/>
    <s v="Brother Printer"/>
    <n v="278.52"/>
    <n v="1"/>
    <n v="0"/>
    <n v="75.650000000000006"/>
    <n v="0.27161424673273016"/>
  </r>
  <r>
    <s v="ORD-10133"/>
    <d v="2022-06-02T00:00:00"/>
    <d v="2022-06-07T00:00:00"/>
    <s v="C-9311"/>
    <s v="Iris Davis"/>
    <x v="1"/>
    <x v="1"/>
    <s v="Virginia"/>
    <x v="2"/>
    <x v="4"/>
    <s v="Conference Table"/>
    <n v="2661.03"/>
    <n v="10"/>
    <n v="0.1"/>
    <n v="802.48"/>
    <n v="0.30156743817243697"/>
  </r>
  <r>
    <s v="ORD-10134"/>
    <d v="2023-12-27T00:00:00"/>
    <d v="2024-01-01T00:00:00"/>
    <s v="C-1436"/>
    <s v="Jack Davis"/>
    <x v="0"/>
    <x v="2"/>
    <s v="Michigan"/>
    <x v="2"/>
    <x v="7"/>
    <s v="Corner Bookcase"/>
    <n v="278.83999999999997"/>
    <n v="2"/>
    <n v="0.1"/>
    <n v="69.94"/>
    <n v="0.25082484578970021"/>
  </r>
  <r>
    <s v="ORD-10135"/>
    <d v="2022-09-29T00:00:00"/>
    <d v="2022-10-05T00:00:00"/>
    <s v="C-4968"/>
    <s v="Alice Johnson"/>
    <x v="1"/>
    <x v="1"/>
    <s v="New York"/>
    <x v="2"/>
    <x v="4"/>
    <s v="Side Table"/>
    <n v="2397.12"/>
    <n v="10"/>
    <n v="0.2"/>
    <n v="990.14"/>
    <n v="0.41305399813109067"/>
  </r>
  <r>
    <s v="ORD-10136"/>
    <d v="2022-07-15T00:00:00"/>
    <d v="2022-07-16T00:00:00"/>
    <s v="C-2020"/>
    <s v="Carol Brown"/>
    <x v="2"/>
    <x v="3"/>
    <s v="Tennessee"/>
    <x v="0"/>
    <x v="2"/>
    <s v="Brother Printer"/>
    <n v="927.05"/>
    <n v="4"/>
    <n v="0.3"/>
    <n v="214.89"/>
    <n v="0.23179979504881074"/>
  </r>
  <r>
    <s v="ORD-10137"/>
    <d v="2023-07-29T00:00:00"/>
    <d v="2023-08-01T00:00:00"/>
    <s v="C-4150"/>
    <s v="David Jones"/>
    <x v="2"/>
    <x v="3"/>
    <s v="Alabama"/>
    <x v="0"/>
    <x v="2"/>
    <s v="Brother Printer"/>
    <n v="1893.56"/>
    <n v="6"/>
    <n v="0.1"/>
    <n v="563.29999999999995"/>
    <n v="0.29748199159255578"/>
  </r>
  <r>
    <s v="ORD-10138"/>
    <d v="2023-07-26T00:00:00"/>
    <d v="2023-07-29T00:00:00"/>
    <s v="C-5480"/>
    <s v="Eve Johnson"/>
    <x v="2"/>
    <x v="1"/>
    <s v="Virginia"/>
    <x v="1"/>
    <x v="5"/>
    <s v="Copy Paper"/>
    <n v="121.52"/>
    <n v="8"/>
    <n v="0.15"/>
    <n v="37.659999999999997"/>
    <n v="0.30990783410138245"/>
  </r>
  <r>
    <s v="ORD-10139"/>
    <d v="2023-08-11T00:00:00"/>
    <d v="2023-08-17T00:00:00"/>
    <s v="C-8247"/>
    <s v="Eve Davis"/>
    <x v="2"/>
    <x v="3"/>
    <s v="Alabama"/>
    <x v="0"/>
    <x v="6"/>
    <s v="Dell Laptop"/>
    <n v="5439.55"/>
    <n v="5"/>
    <n v="0"/>
    <n v="1976.78"/>
    <n v="0.36340873785515343"/>
  </r>
  <r>
    <s v="ORD-10140"/>
    <d v="2022-08-08T00:00:00"/>
    <d v="2022-08-10T00:00:00"/>
    <s v="C-1860"/>
    <s v="Bob Martinez"/>
    <x v="0"/>
    <x v="2"/>
    <s v="Ohio"/>
    <x v="0"/>
    <x v="0"/>
    <s v="USB Hub"/>
    <n v="38.28"/>
    <n v="1"/>
    <n v="0.05"/>
    <n v="11.12"/>
    <n v="0.29049111807732497"/>
  </r>
  <r>
    <s v="ORD-10141"/>
    <d v="2022-12-05T00:00:00"/>
    <d v="2022-12-11T00:00:00"/>
    <s v="C-4267"/>
    <s v="Eve Garcia"/>
    <x v="1"/>
    <x v="3"/>
    <s v="Georgia"/>
    <x v="0"/>
    <x v="3"/>
    <s v="Pixel 6"/>
    <n v="976.29"/>
    <n v="3"/>
    <n v="0.3"/>
    <n v="322.8"/>
    <n v="0.33063946163537478"/>
  </r>
  <r>
    <s v="ORD-10142"/>
    <d v="2022-10-20T00:00:00"/>
    <d v="2022-10-26T00:00:00"/>
    <s v="C-3880"/>
    <s v="Alice Martinez"/>
    <x v="1"/>
    <x v="0"/>
    <s v="California"/>
    <x v="1"/>
    <x v="5"/>
    <s v="Copy Paper"/>
    <n v="22.7"/>
    <n v="1"/>
    <n v="0"/>
    <n v="7.84"/>
    <n v="0.34537444933920708"/>
  </r>
  <r>
    <s v="ORD-10143"/>
    <d v="2023-05-23T00:00:00"/>
    <d v="2023-05-25T00:00:00"/>
    <s v="C-3198"/>
    <s v="Iris Davis"/>
    <x v="0"/>
    <x v="2"/>
    <s v="Texas"/>
    <x v="2"/>
    <x v="11"/>
    <s v="Executive Chair"/>
    <n v="664.3"/>
    <n v="5"/>
    <n v="0.3"/>
    <n v="151.25"/>
    <n v="0.22768327562848112"/>
  </r>
  <r>
    <s v="ORD-10144"/>
    <d v="2022-10-07T00:00:00"/>
    <d v="2022-10-09T00:00:00"/>
    <s v="C-5833"/>
    <s v="Jack Brown"/>
    <x v="0"/>
    <x v="0"/>
    <s v="Oregon"/>
    <x v="1"/>
    <x v="1"/>
    <s v="Mini Fridge"/>
    <n v="557.35"/>
    <n v="5"/>
    <n v="0"/>
    <n v="148.16999999999999"/>
    <n v="0.26584731317843363"/>
  </r>
  <r>
    <s v="ORD-10145"/>
    <d v="2022-06-29T00:00:00"/>
    <d v="2022-07-04T00:00:00"/>
    <s v="C-5064"/>
    <s v="Alice Jones"/>
    <x v="1"/>
    <x v="3"/>
    <s v="Alabama"/>
    <x v="2"/>
    <x v="11"/>
    <s v="Executive Chair"/>
    <n v="335.94"/>
    <n v="2"/>
    <n v="0"/>
    <n v="111.07"/>
    <n v="0.33062451628266953"/>
  </r>
  <r>
    <s v="ORD-10146"/>
    <d v="2023-01-28T00:00:00"/>
    <d v="2023-01-30T00:00:00"/>
    <s v="C-8625"/>
    <s v="Eve Williams"/>
    <x v="2"/>
    <x v="3"/>
    <s v="Tennessee"/>
    <x v="2"/>
    <x v="11"/>
    <s v="Executive Chair"/>
    <n v="1254.6600000000001"/>
    <n v="6"/>
    <n v="0"/>
    <n v="355.14"/>
    <n v="0.28305676438238248"/>
  </r>
  <r>
    <s v="ORD-10147"/>
    <d v="2023-02-20T00:00:00"/>
    <d v="2023-02-26T00:00:00"/>
    <s v="C-8454"/>
    <s v="Jack Garcia"/>
    <x v="1"/>
    <x v="2"/>
    <s v="Texas"/>
    <x v="2"/>
    <x v="7"/>
    <s v="Corner Bookcase"/>
    <n v="455.32"/>
    <n v="4"/>
    <n v="0"/>
    <n v="150.46"/>
    <n v="0.33044891504875695"/>
  </r>
  <r>
    <s v="ORD-10148"/>
    <d v="2023-03-02T00:00:00"/>
    <d v="2023-03-08T00:00:00"/>
    <s v="C-2838"/>
    <s v="Alice Brown"/>
    <x v="0"/>
    <x v="3"/>
    <s v="North Carolina"/>
    <x v="1"/>
    <x v="8"/>
    <s v="Ring Binder"/>
    <n v="88.74"/>
    <n v="8"/>
    <n v="0.15"/>
    <n v="38.200000000000003"/>
    <n v="0.43047103899030881"/>
  </r>
  <r>
    <s v="ORD-10149"/>
    <d v="2023-08-10T00:00:00"/>
    <d v="2023-08-15T00:00:00"/>
    <s v="C-9361"/>
    <s v="Henry Smith"/>
    <x v="2"/>
    <x v="1"/>
    <s v="Pennsylvania"/>
    <x v="1"/>
    <x v="1"/>
    <s v="Coffee Maker"/>
    <n v="311.92"/>
    <n v="4"/>
    <n v="0.3"/>
    <n v="133.27000000000001"/>
    <n v="0.42725698897153119"/>
  </r>
  <r>
    <s v="ORD-10150"/>
    <d v="2023-04-10T00:00:00"/>
    <d v="2023-04-12T00:00:00"/>
    <s v="C-1049"/>
    <s v="David Johnson"/>
    <x v="1"/>
    <x v="3"/>
    <s v="Alabama"/>
    <x v="0"/>
    <x v="2"/>
    <s v="Brother Printer"/>
    <n v="1504.6"/>
    <n v="5"/>
    <n v="0.2"/>
    <n v="581.36"/>
    <n v="0.38638840887943643"/>
  </r>
  <r>
    <s v="ORD-10151"/>
    <d v="2022-02-16T00:00:00"/>
    <d v="2022-02-20T00:00:00"/>
    <s v="C-7887"/>
    <s v="Frank Martinez"/>
    <x v="1"/>
    <x v="2"/>
    <s v="Texas"/>
    <x v="0"/>
    <x v="3"/>
    <s v="Samsung Galaxy S22"/>
    <n v="440.64"/>
    <n v="1"/>
    <n v="0"/>
    <n v="113.58"/>
    <n v="0.25776143790849676"/>
  </r>
  <r>
    <s v="ORD-10152"/>
    <d v="2023-04-05T00:00:00"/>
    <d v="2023-04-12T00:00:00"/>
    <s v="C-4648"/>
    <s v="Alice Smith"/>
    <x v="0"/>
    <x v="3"/>
    <s v="Alabama"/>
    <x v="1"/>
    <x v="5"/>
    <s v="Copy Paper"/>
    <n v="78.05"/>
    <n v="6"/>
    <n v="0.2"/>
    <n v="24.8"/>
    <n v="0.31774503523382447"/>
  </r>
  <r>
    <s v="ORD-10153"/>
    <d v="2022-11-02T00:00:00"/>
    <d v="2022-11-06T00:00:00"/>
    <s v="C-7868"/>
    <s v="Jack Smith"/>
    <x v="0"/>
    <x v="3"/>
    <s v="Alabama"/>
    <x v="0"/>
    <x v="2"/>
    <s v="Xerox MX"/>
    <n v="935.07"/>
    <n v="3"/>
    <n v="0"/>
    <n v="413.25"/>
    <n v="0.44194552279508481"/>
  </r>
  <r>
    <s v="ORD-10154"/>
    <d v="2022-09-04T00:00:00"/>
    <d v="2022-09-06T00:00:00"/>
    <s v="C-4839"/>
    <s v="Iris Brown"/>
    <x v="1"/>
    <x v="0"/>
    <s v="California"/>
    <x v="0"/>
    <x v="2"/>
    <s v="Brother Printer"/>
    <n v="307.24"/>
    <n v="1"/>
    <n v="0"/>
    <n v="107.36"/>
    <n v="0.34943366749121207"/>
  </r>
  <r>
    <s v="ORD-10155"/>
    <d v="2022-02-27T00:00:00"/>
    <d v="2022-03-01T00:00:00"/>
    <s v="C-3347"/>
    <s v="Iris Brown"/>
    <x v="1"/>
    <x v="2"/>
    <s v="Illinois"/>
    <x v="1"/>
    <x v="10"/>
    <s v="Filing Cabinet"/>
    <n v="559.89"/>
    <n v="10"/>
    <n v="0.15"/>
    <n v="218.79"/>
    <n v="0.39077318759041957"/>
  </r>
  <r>
    <s v="ORD-10156"/>
    <d v="2023-02-28T00:00:00"/>
    <d v="2023-03-03T00:00:00"/>
    <s v="C-7244"/>
    <s v="Iris Garcia"/>
    <x v="1"/>
    <x v="2"/>
    <s v="Texas"/>
    <x v="1"/>
    <x v="5"/>
    <s v="Copy Paper"/>
    <n v="138.6"/>
    <n v="7"/>
    <n v="0"/>
    <n v="28.68"/>
    <n v="0.20692640692640693"/>
  </r>
  <r>
    <s v="ORD-10157"/>
    <d v="2023-12-15T00:00:00"/>
    <d v="2023-12-19T00:00:00"/>
    <s v="C-3365"/>
    <s v="Henry Smith"/>
    <x v="2"/>
    <x v="3"/>
    <s v="North Carolina"/>
    <x v="2"/>
    <x v="4"/>
    <s v="Side Table"/>
    <n v="1821.04"/>
    <n v="8"/>
    <n v="0.05"/>
    <n v="682.55"/>
    <n v="0.37481329350261389"/>
  </r>
  <r>
    <s v="ORD-10158"/>
    <d v="2023-07-30T00:00:00"/>
    <d v="2023-08-03T00:00:00"/>
    <s v="C-2514"/>
    <s v="Iris Brown"/>
    <x v="2"/>
    <x v="3"/>
    <s v="North Carolina"/>
    <x v="0"/>
    <x v="6"/>
    <s v="Dell Laptop"/>
    <n v="4073.41"/>
    <n v="6"/>
    <n v="0.3"/>
    <n v="970.35"/>
    <n v="0.23821564733233336"/>
  </r>
  <r>
    <s v="ORD-10159"/>
    <d v="2022-02-22T00:00:00"/>
    <d v="2022-02-25T00:00:00"/>
    <s v="C-1251"/>
    <s v="David Brown"/>
    <x v="0"/>
    <x v="3"/>
    <s v="Georgia"/>
    <x v="0"/>
    <x v="0"/>
    <s v="Wireless Mouse"/>
    <n v="147.69999999999999"/>
    <n v="4"/>
    <n v="0.15"/>
    <n v="55.27"/>
    <n v="0.3742044685172648"/>
  </r>
  <r>
    <s v="ORD-10160"/>
    <d v="2022-05-01T00:00:00"/>
    <d v="2022-05-07T00:00:00"/>
    <s v="C-9743"/>
    <s v="Frank Jones"/>
    <x v="1"/>
    <x v="3"/>
    <s v="North Carolina"/>
    <x v="1"/>
    <x v="5"/>
    <s v="Legal Pad"/>
    <n v="71.17"/>
    <n v="4"/>
    <n v="0.1"/>
    <n v="25.25"/>
    <n v="0.35478431923563297"/>
  </r>
  <r>
    <s v="ORD-10161"/>
    <d v="2022-09-25T00:00:00"/>
    <d v="2022-09-28T00:00:00"/>
    <s v="C-4625"/>
    <s v="Carol Smith"/>
    <x v="0"/>
    <x v="3"/>
    <s v="Alabama"/>
    <x v="1"/>
    <x v="1"/>
    <s v="Microwave"/>
    <n v="309.12"/>
    <n v="4"/>
    <n v="0.2"/>
    <n v="135.57"/>
    <n v="0.43856754658385089"/>
  </r>
  <r>
    <s v="ORD-10162"/>
    <d v="2022-09-25T00:00:00"/>
    <d v="2022-09-30T00:00:00"/>
    <s v="C-6530"/>
    <s v="Eve Davis"/>
    <x v="0"/>
    <x v="3"/>
    <s v="Tennessee"/>
    <x v="0"/>
    <x v="6"/>
    <s v="Dell Laptop"/>
    <n v="6253.93"/>
    <n v="7"/>
    <n v="0.05"/>
    <n v="2033.62"/>
    <n v="0.32517473012969439"/>
  </r>
  <r>
    <s v="ORD-10163"/>
    <d v="2023-10-20T00:00:00"/>
    <d v="2023-10-26T00:00:00"/>
    <s v="C-9882"/>
    <s v="Alice Smith"/>
    <x v="0"/>
    <x v="3"/>
    <s v="Alabama"/>
    <x v="1"/>
    <x v="10"/>
    <s v="File Box"/>
    <n v="135.62"/>
    <n v="3"/>
    <n v="0.3"/>
    <n v="54.79"/>
    <n v="0.40399646069901191"/>
  </r>
  <r>
    <s v="ORD-10164"/>
    <d v="2022-03-18T00:00:00"/>
    <d v="2022-03-25T00:00:00"/>
    <s v="C-8916"/>
    <s v="Henry Smith"/>
    <x v="2"/>
    <x v="0"/>
    <s v="California"/>
    <x v="0"/>
    <x v="0"/>
    <s v="USB Hub"/>
    <n v="62.77"/>
    <n v="3"/>
    <n v="0.3"/>
    <n v="22.39"/>
    <n v="0.35669906006053848"/>
  </r>
  <r>
    <s v="ORD-10165"/>
    <d v="2022-01-07T00:00:00"/>
    <d v="2022-01-12T00:00:00"/>
    <s v="C-3937"/>
    <s v="Bob Johnson"/>
    <x v="0"/>
    <x v="3"/>
    <s v="Georgia"/>
    <x v="1"/>
    <x v="10"/>
    <s v="Filing Cabinet"/>
    <n v="188.68"/>
    <n v="5"/>
    <n v="0.2"/>
    <n v="46.88"/>
    <n v="0.24846300614797542"/>
  </r>
  <r>
    <s v="ORD-10166"/>
    <d v="2023-06-21T00:00:00"/>
    <d v="2023-06-23T00:00:00"/>
    <s v="C-7652"/>
    <s v="Henry Brown"/>
    <x v="1"/>
    <x v="1"/>
    <s v="Pennsylvania"/>
    <x v="1"/>
    <x v="10"/>
    <s v="Storage Bin"/>
    <n v="332.1"/>
    <n v="5"/>
    <n v="0"/>
    <n v="118.47"/>
    <n v="0.35672990063233961"/>
  </r>
  <r>
    <s v="ORD-10167"/>
    <d v="2023-12-15T00:00:00"/>
    <d v="2023-12-17T00:00:00"/>
    <s v="C-1154"/>
    <s v="Carol Johnson"/>
    <x v="1"/>
    <x v="2"/>
    <s v="Texas"/>
    <x v="1"/>
    <x v="8"/>
    <s v="Heavy Duty Binder"/>
    <n v="60.02"/>
    <n v="7"/>
    <n v="0.3"/>
    <n v="26.17"/>
    <n v="0.43602132622459183"/>
  </r>
  <r>
    <s v="ORD-10168"/>
    <d v="2023-05-27T00:00:00"/>
    <d v="2023-06-03T00:00:00"/>
    <s v="C-2218"/>
    <s v="Eve Smith"/>
    <x v="1"/>
    <x v="3"/>
    <s v="Tennessee"/>
    <x v="0"/>
    <x v="3"/>
    <s v="iPhone 13"/>
    <n v="1582.03"/>
    <n v="4"/>
    <n v="0.3"/>
    <n v="604.69000000000005"/>
    <n v="0.38222410447336652"/>
  </r>
  <r>
    <s v="ORD-10169"/>
    <d v="2022-07-03T00:00:00"/>
    <d v="2022-07-10T00:00:00"/>
    <s v="C-4939"/>
    <s v="Jack Martinez"/>
    <x v="0"/>
    <x v="2"/>
    <s v="Texas"/>
    <x v="1"/>
    <x v="5"/>
    <s v="Copy Paper"/>
    <n v="143.77000000000001"/>
    <n v="7"/>
    <n v="0.1"/>
    <n v="58.86"/>
    <n v="0.40940390902135354"/>
  </r>
  <r>
    <s v="ORD-10170"/>
    <d v="2023-11-25T00:00:00"/>
    <d v="2023-11-30T00:00:00"/>
    <s v="C-2245"/>
    <s v="Frank Martinez"/>
    <x v="1"/>
    <x v="2"/>
    <s v="Michigan"/>
    <x v="0"/>
    <x v="3"/>
    <s v="Pixel 6"/>
    <n v="1888.18"/>
    <n v="6"/>
    <n v="0.2"/>
    <n v="740.1"/>
    <n v="0.3919647491234946"/>
  </r>
  <r>
    <s v="ORD-10171"/>
    <d v="2022-12-01T00:00:00"/>
    <d v="2022-12-02T00:00:00"/>
    <s v="C-5839"/>
    <s v="David Johnson"/>
    <x v="2"/>
    <x v="2"/>
    <s v="Michigan"/>
    <x v="0"/>
    <x v="6"/>
    <s v="HP Notebook"/>
    <n v="4971.01"/>
    <n v="7"/>
    <n v="0.2"/>
    <n v="2130.46"/>
    <n v="0.42857688880126976"/>
  </r>
  <r>
    <s v="ORD-10172"/>
    <d v="2022-03-26T00:00:00"/>
    <d v="2022-03-29T00:00:00"/>
    <s v="C-6050"/>
    <s v="Henry Garcia"/>
    <x v="1"/>
    <x v="1"/>
    <s v="Florida"/>
    <x v="1"/>
    <x v="5"/>
    <s v="Copy Paper"/>
    <n v="125.09"/>
    <n v="7"/>
    <n v="0"/>
    <n v="53.43"/>
    <n v="0.42713246462546967"/>
  </r>
  <r>
    <s v="ORD-10173"/>
    <d v="2022-10-04T00:00:00"/>
    <d v="2022-10-05T00:00:00"/>
    <s v="C-6798"/>
    <s v="Iris Johnson"/>
    <x v="0"/>
    <x v="1"/>
    <s v="New York"/>
    <x v="2"/>
    <x v="9"/>
    <s v="Whiteboard"/>
    <n v="875.25"/>
    <n v="9"/>
    <n v="0"/>
    <n v="388.12"/>
    <n v="0.44343901742359326"/>
  </r>
  <r>
    <s v="ORD-10174"/>
    <d v="2023-09-04T00:00:00"/>
    <d v="2023-09-09T00:00:00"/>
    <s v="C-3778"/>
    <s v="Grace Williams"/>
    <x v="0"/>
    <x v="2"/>
    <s v="Michigan"/>
    <x v="2"/>
    <x v="9"/>
    <s v="Storage Cabinet"/>
    <n v="201.13"/>
    <n v="2"/>
    <n v="0.05"/>
    <n v="61.75"/>
    <n v="0.30701536319793171"/>
  </r>
  <r>
    <s v="ORD-10175"/>
    <d v="2022-05-23T00:00:00"/>
    <d v="2022-05-26T00:00:00"/>
    <s v="C-2260"/>
    <s v="Frank Jones"/>
    <x v="2"/>
    <x v="2"/>
    <s v="Ohio"/>
    <x v="0"/>
    <x v="3"/>
    <s v="iPhone 13"/>
    <n v="2761.79"/>
    <n v="7"/>
    <n v="0.1"/>
    <n v="908.47"/>
    <n v="0.32894246122985454"/>
  </r>
  <r>
    <s v="ORD-10176"/>
    <d v="2022-09-10T00:00:00"/>
    <d v="2022-09-16T00:00:00"/>
    <s v="C-7224"/>
    <s v="Frank Davis"/>
    <x v="2"/>
    <x v="3"/>
    <s v="North Carolina"/>
    <x v="0"/>
    <x v="0"/>
    <s v="Wireless Mouse"/>
    <n v="37.99"/>
    <n v="1"/>
    <n v="0.15"/>
    <n v="9.1"/>
    <n v="0.23953672018952354"/>
  </r>
  <r>
    <s v="ORD-10177"/>
    <d v="2022-12-09T00:00:00"/>
    <d v="2022-12-13T00:00:00"/>
    <s v="C-5775"/>
    <s v="Henry Brown"/>
    <x v="2"/>
    <x v="1"/>
    <s v="Virginia"/>
    <x v="1"/>
    <x v="5"/>
    <s v="Legal Pad"/>
    <n v="80.349999999999994"/>
    <n v="6"/>
    <n v="0.2"/>
    <n v="16.7"/>
    <n v="0.20784069695084009"/>
  </r>
  <r>
    <s v="ORD-10178"/>
    <d v="2022-11-30T00:00:00"/>
    <d v="2022-12-04T00:00:00"/>
    <s v="C-8563"/>
    <s v="David Davis"/>
    <x v="2"/>
    <x v="2"/>
    <s v="Michigan"/>
    <x v="0"/>
    <x v="0"/>
    <s v="Keyboard"/>
    <n v="293.22000000000003"/>
    <n v="9"/>
    <n v="0"/>
    <n v="62.09"/>
    <n v="0.21175226792169702"/>
  </r>
  <r>
    <s v="ORD-10179"/>
    <d v="2022-10-26T00:00:00"/>
    <d v="2022-11-02T00:00:00"/>
    <s v="C-7176"/>
    <s v="Bob Davis"/>
    <x v="1"/>
    <x v="0"/>
    <s v="Nevada"/>
    <x v="2"/>
    <x v="4"/>
    <s v="Side Table"/>
    <n v="1198.6500000000001"/>
    <n v="5"/>
    <n v="0"/>
    <n v="325.06"/>
    <n v="0.27118842030617779"/>
  </r>
  <r>
    <s v="ORD-10180"/>
    <d v="2023-09-05T00:00:00"/>
    <d v="2023-09-09T00:00:00"/>
    <s v="C-5067"/>
    <s v="Frank Williams"/>
    <x v="1"/>
    <x v="3"/>
    <s v="Alabama"/>
    <x v="0"/>
    <x v="6"/>
    <s v="HP Notebook"/>
    <n v="8546.76"/>
    <n v="9"/>
    <n v="0"/>
    <n v="3612.35"/>
    <n v="0.42265724087256457"/>
  </r>
  <r>
    <s v="ORD-10181"/>
    <d v="2023-10-25T00:00:00"/>
    <d v="2023-10-30T00:00:00"/>
    <s v="C-7408"/>
    <s v="Henry Williams"/>
    <x v="2"/>
    <x v="0"/>
    <s v="Nevada"/>
    <x v="2"/>
    <x v="11"/>
    <s v="Mesh Chair"/>
    <n v="330.52"/>
    <n v="2"/>
    <n v="0.05"/>
    <n v="111.9"/>
    <n v="0.33855742466416561"/>
  </r>
  <r>
    <s v="ORD-10182"/>
    <d v="2022-12-20T00:00:00"/>
    <d v="2022-12-21T00:00:00"/>
    <s v="C-4389"/>
    <s v="Iris Davis"/>
    <x v="2"/>
    <x v="3"/>
    <s v="Georgia"/>
    <x v="2"/>
    <x v="11"/>
    <s v="Mesh Chair"/>
    <n v="462.09"/>
    <n v="3"/>
    <n v="0.15"/>
    <n v="155.34"/>
    <n v="0.33616827890670653"/>
  </r>
  <r>
    <s v="ORD-10183"/>
    <d v="2022-12-23T00:00:00"/>
    <d v="2022-12-27T00:00:00"/>
    <s v="C-6620"/>
    <s v="Bob Williams"/>
    <x v="1"/>
    <x v="0"/>
    <s v="Nevada"/>
    <x v="1"/>
    <x v="1"/>
    <s v="Microwave"/>
    <n v="187.18"/>
    <n v="2"/>
    <n v="0"/>
    <n v="83.17"/>
    <n v="0.44433165936531682"/>
  </r>
  <r>
    <s v="ORD-10184"/>
    <d v="2022-09-07T00:00:00"/>
    <d v="2022-09-12T00:00:00"/>
    <s v="C-8080"/>
    <s v="Grace Smith"/>
    <x v="2"/>
    <x v="1"/>
    <s v="Pennsylvania"/>
    <x v="1"/>
    <x v="1"/>
    <s v="Microwave"/>
    <n v="459.4"/>
    <n v="4"/>
    <n v="0"/>
    <n v="185.32"/>
    <n v="0.40339573356552028"/>
  </r>
  <r>
    <s v="ORD-10185"/>
    <d v="2023-09-21T00:00:00"/>
    <d v="2023-09-23T00:00:00"/>
    <s v="C-9796"/>
    <s v="Carol Garcia"/>
    <x v="2"/>
    <x v="3"/>
    <s v="Alabama"/>
    <x v="0"/>
    <x v="0"/>
    <s v="USB Hub"/>
    <n v="208"/>
    <n v="5"/>
    <n v="0"/>
    <n v="63.58"/>
    <n v="0.30567307692307694"/>
  </r>
  <r>
    <s v="ORD-10186"/>
    <d v="2022-11-30T00:00:00"/>
    <d v="2022-12-02T00:00:00"/>
    <s v="C-6700"/>
    <s v="Frank Davis"/>
    <x v="2"/>
    <x v="3"/>
    <s v="Georgia"/>
    <x v="1"/>
    <x v="1"/>
    <s v="Mini Fridge"/>
    <n v="510.1"/>
    <n v="6"/>
    <n v="0.2"/>
    <n v="154.69"/>
    <n v="0.30325426386982945"/>
  </r>
  <r>
    <s v="ORD-10187"/>
    <d v="2023-09-25T00:00:00"/>
    <d v="2023-09-27T00:00:00"/>
    <s v="C-3316"/>
    <s v="Iris Martinez"/>
    <x v="1"/>
    <x v="2"/>
    <s v="Texas"/>
    <x v="0"/>
    <x v="6"/>
    <s v="Dell Laptop"/>
    <n v="3357.24"/>
    <n v="4"/>
    <n v="0"/>
    <n v="1197.44"/>
    <n v="0.35667393454146862"/>
  </r>
  <r>
    <s v="ORD-10188"/>
    <d v="2023-03-05T00:00:00"/>
    <d v="2023-03-10T00:00:00"/>
    <s v="C-9022"/>
    <s v="Eve Williams"/>
    <x v="2"/>
    <x v="1"/>
    <s v="Florida"/>
    <x v="0"/>
    <x v="2"/>
    <s v="Brother Printer"/>
    <n v="3346.65"/>
    <n v="9"/>
    <n v="0"/>
    <n v="1041.72"/>
    <n v="0.3112724664963471"/>
  </r>
  <r>
    <s v="ORD-10189"/>
    <d v="2022-07-11T00:00:00"/>
    <d v="2022-07-14T00:00:00"/>
    <s v="C-9056"/>
    <s v="Grace Davis"/>
    <x v="2"/>
    <x v="3"/>
    <s v="Georgia"/>
    <x v="0"/>
    <x v="2"/>
    <s v="Canon Copier"/>
    <n v="1090.29"/>
    <n v="4"/>
    <n v="0.3"/>
    <n v="379.11"/>
    <n v="0.34771482816498367"/>
  </r>
  <r>
    <s v="ORD-10190"/>
    <d v="2023-05-16T00:00:00"/>
    <d v="2023-05-18T00:00:00"/>
    <s v="C-9115"/>
    <s v="Iris Johnson"/>
    <x v="0"/>
    <x v="0"/>
    <s v="California"/>
    <x v="2"/>
    <x v="11"/>
    <s v="Executive Chair"/>
    <n v="786.2"/>
    <n v="4"/>
    <n v="0"/>
    <n v="200.34"/>
    <n v="0.25482065632154666"/>
  </r>
  <r>
    <s v="ORD-10191"/>
    <d v="2023-08-10T00:00:00"/>
    <d v="2023-08-11T00:00:00"/>
    <s v="C-5055"/>
    <s v="Eve Smith"/>
    <x v="1"/>
    <x v="2"/>
    <s v="Ohio"/>
    <x v="0"/>
    <x v="2"/>
    <s v="Brother Printer"/>
    <n v="1658.12"/>
    <n v="4"/>
    <n v="0"/>
    <n v="441.06"/>
    <n v="0.26600004824741275"/>
  </r>
  <r>
    <s v="ORD-10192"/>
    <d v="2023-04-06T00:00:00"/>
    <d v="2023-04-09T00:00:00"/>
    <s v="C-3281"/>
    <s v="David Brown"/>
    <x v="2"/>
    <x v="2"/>
    <s v="Texas"/>
    <x v="0"/>
    <x v="0"/>
    <s v="USB Hub"/>
    <n v="324.8"/>
    <n v="10"/>
    <n v="0.2"/>
    <n v="132.68"/>
    <n v="0.40849753694581281"/>
  </r>
  <r>
    <s v="ORD-10193"/>
    <d v="2022-03-02T00:00:00"/>
    <d v="2022-03-07T00:00:00"/>
    <s v="C-9428"/>
    <s v="Bob Williams"/>
    <x v="1"/>
    <x v="2"/>
    <s v="Ohio"/>
    <x v="1"/>
    <x v="5"/>
    <s v="Legal Pad"/>
    <n v="79.38"/>
    <n v="5"/>
    <n v="0.1"/>
    <n v="16.82"/>
    <n v="0.21189216427311666"/>
  </r>
  <r>
    <s v="ORD-10194"/>
    <d v="2023-02-26T00:00:00"/>
    <d v="2023-02-27T00:00:00"/>
    <s v="C-5402"/>
    <s v="Grace Martinez"/>
    <x v="1"/>
    <x v="2"/>
    <s v="Illinois"/>
    <x v="0"/>
    <x v="0"/>
    <s v="USB Hub"/>
    <n v="205.44"/>
    <n v="6"/>
    <n v="0.2"/>
    <n v="67.31"/>
    <n v="0.32763823987538943"/>
  </r>
  <r>
    <s v="ORD-10195"/>
    <d v="2023-04-08T00:00:00"/>
    <d v="2023-04-09T00:00:00"/>
    <s v="C-1040"/>
    <s v="Bob Davis"/>
    <x v="1"/>
    <x v="0"/>
    <s v="Nevada"/>
    <x v="1"/>
    <x v="10"/>
    <s v="Filing Cabinet"/>
    <n v="243.6"/>
    <n v="6"/>
    <n v="0.3"/>
    <n v="89.69"/>
    <n v="0.3681855500821018"/>
  </r>
  <r>
    <s v="ORD-10196"/>
    <d v="2023-10-13T00:00:00"/>
    <d v="2023-10-19T00:00:00"/>
    <s v="C-6533"/>
    <s v="Iris Williams"/>
    <x v="1"/>
    <x v="2"/>
    <s v="Texas"/>
    <x v="2"/>
    <x v="4"/>
    <s v="Conference Table"/>
    <n v="911.74"/>
    <n v="4"/>
    <n v="0.15"/>
    <n v="221.47"/>
    <n v="0.24290916269989252"/>
  </r>
  <r>
    <s v="ORD-10197"/>
    <d v="2023-08-03T00:00:00"/>
    <d v="2023-08-10T00:00:00"/>
    <s v="C-1011"/>
    <s v="Grace Brown"/>
    <x v="1"/>
    <x v="3"/>
    <s v="Tennessee"/>
    <x v="0"/>
    <x v="3"/>
    <s v="iPhone 13"/>
    <n v="3086.4"/>
    <n v="8"/>
    <n v="0"/>
    <n v="1048.3800000000001"/>
    <n v="0.33967729393468121"/>
  </r>
  <r>
    <s v="ORD-10198"/>
    <d v="2023-12-07T00:00:00"/>
    <d v="2023-12-09T00:00:00"/>
    <s v="C-6005"/>
    <s v="David Martinez"/>
    <x v="2"/>
    <x v="2"/>
    <s v="Illinois"/>
    <x v="0"/>
    <x v="6"/>
    <s v="MacBook Pro"/>
    <n v="1729.46"/>
    <n v="2"/>
    <n v="0"/>
    <n v="755.87"/>
    <n v="0.4370554970915777"/>
  </r>
  <r>
    <s v="ORD-10199"/>
    <d v="2023-11-03T00:00:00"/>
    <d v="2023-11-04T00:00:00"/>
    <s v="C-6629"/>
    <s v="Bob Martinez"/>
    <x v="0"/>
    <x v="0"/>
    <s v="California"/>
    <x v="2"/>
    <x v="11"/>
    <s v="Mesh Chair"/>
    <n v="1199.24"/>
    <n v="10"/>
    <n v="0.3"/>
    <n v="536.87"/>
    <n v="0.4476751942897168"/>
  </r>
  <r>
    <s v="ORD-10200"/>
    <d v="2023-12-12T00:00:00"/>
    <d v="2023-12-14T00:00:00"/>
    <s v="C-3246"/>
    <s v="Grace Williams"/>
    <x v="0"/>
    <x v="3"/>
    <s v="Georgia"/>
    <x v="2"/>
    <x v="11"/>
    <s v="Folding Chair"/>
    <n v="274.31"/>
    <n v="2"/>
    <n v="0.15"/>
    <n v="63.02"/>
    <n v="0.22974007509751743"/>
  </r>
  <r>
    <s v="ORD-10201"/>
    <d v="2023-10-19T00:00:00"/>
    <d v="2023-10-25T00:00:00"/>
    <s v="C-3480"/>
    <s v="Grace Davis"/>
    <x v="1"/>
    <x v="1"/>
    <s v="New York"/>
    <x v="1"/>
    <x v="8"/>
    <s v="Ring Binder"/>
    <n v="35.85"/>
    <n v="3"/>
    <n v="0.05"/>
    <n v="10.5"/>
    <n v="0.29288702928870292"/>
  </r>
  <r>
    <s v="ORD-10202"/>
    <d v="2022-08-11T00:00:00"/>
    <d v="2022-08-12T00:00:00"/>
    <s v="C-2380"/>
    <s v="David Jones"/>
    <x v="0"/>
    <x v="0"/>
    <s v="Washington"/>
    <x v="1"/>
    <x v="1"/>
    <s v="Microwave"/>
    <n v="659.4"/>
    <n v="7"/>
    <n v="0"/>
    <n v="255.88"/>
    <n v="0.3880497421898696"/>
  </r>
  <r>
    <s v="ORD-10203"/>
    <d v="2023-12-09T00:00:00"/>
    <d v="2023-12-10T00:00:00"/>
    <s v="C-4921"/>
    <s v="Henry Martinez"/>
    <x v="1"/>
    <x v="2"/>
    <s v="Illinois"/>
    <x v="1"/>
    <x v="5"/>
    <s v="Copy Paper"/>
    <n v="123.83"/>
    <n v="7"/>
    <n v="0"/>
    <n v="31.46"/>
    <n v="0.25405798271824276"/>
  </r>
  <r>
    <s v="ORD-10204"/>
    <d v="2022-04-26T00:00:00"/>
    <d v="2022-04-28T00:00:00"/>
    <s v="C-3830"/>
    <s v="Henry Johnson"/>
    <x v="1"/>
    <x v="3"/>
    <s v="Georgia"/>
    <x v="0"/>
    <x v="6"/>
    <s v="MacBook Pro"/>
    <n v="2089.13"/>
    <n v="3"/>
    <n v="0.2"/>
    <n v="749.26"/>
    <n v="0.35864690086303863"/>
  </r>
  <r>
    <s v="ORD-10205"/>
    <d v="2022-01-18T00:00:00"/>
    <d v="2022-01-23T00:00:00"/>
    <s v="C-7590"/>
    <s v="Bob Williams"/>
    <x v="2"/>
    <x v="0"/>
    <s v="California"/>
    <x v="0"/>
    <x v="3"/>
    <s v="iPhone 13"/>
    <n v="2716.5"/>
    <n v="7"/>
    <n v="0.2"/>
    <n v="934.76"/>
    <n v="0.34410454629118348"/>
  </r>
  <r>
    <s v="ORD-10206"/>
    <d v="2022-10-12T00:00:00"/>
    <d v="2022-10-13T00:00:00"/>
    <s v="C-8167"/>
    <s v="David Smith"/>
    <x v="1"/>
    <x v="2"/>
    <s v="Texas"/>
    <x v="0"/>
    <x v="0"/>
    <s v="Keyboard"/>
    <n v="215.4"/>
    <n v="6"/>
    <n v="0"/>
    <n v="80.23"/>
    <n v="0.37246982358402975"/>
  </r>
  <r>
    <s v="ORD-10207"/>
    <d v="2022-09-08T00:00:00"/>
    <d v="2022-09-09T00:00:00"/>
    <s v="C-3684"/>
    <s v="Henry Garcia"/>
    <x v="2"/>
    <x v="3"/>
    <s v="Georgia"/>
    <x v="1"/>
    <x v="8"/>
    <s v="Presentation Binder"/>
    <n v="32.520000000000003"/>
    <n v="3"/>
    <n v="0"/>
    <n v="8.93"/>
    <n v="0.27460024600245997"/>
  </r>
  <r>
    <s v="ORD-10208"/>
    <d v="2023-06-20T00:00:00"/>
    <d v="2023-06-25T00:00:00"/>
    <s v="C-8034"/>
    <s v="Eve Johnson"/>
    <x v="2"/>
    <x v="2"/>
    <s v="Illinois"/>
    <x v="0"/>
    <x v="6"/>
    <s v="HP Notebook"/>
    <n v="2035.14"/>
    <n v="2"/>
    <n v="0"/>
    <n v="745.36"/>
    <n v="0.36624507404895978"/>
  </r>
  <r>
    <s v="ORD-10209"/>
    <d v="2022-09-27T00:00:00"/>
    <d v="2022-10-03T00:00:00"/>
    <s v="C-5179"/>
    <s v="Bob Johnson"/>
    <x v="2"/>
    <x v="0"/>
    <s v="Nevada"/>
    <x v="1"/>
    <x v="10"/>
    <s v="File Box"/>
    <n v="544.16"/>
    <n v="8"/>
    <n v="0"/>
    <n v="194.85"/>
    <n v="0.35807483093207881"/>
  </r>
  <r>
    <s v="ORD-10210"/>
    <d v="2022-08-22T00:00:00"/>
    <d v="2022-08-28T00:00:00"/>
    <s v="C-1579"/>
    <s v="Iris Martinez"/>
    <x v="0"/>
    <x v="0"/>
    <s v="California"/>
    <x v="0"/>
    <x v="3"/>
    <s v="Samsung Galaxy S22"/>
    <n v="2760.3"/>
    <n v="6"/>
    <n v="0"/>
    <n v="1118.6400000000001"/>
    <n v="0.40526029779371808"/>
  </r>
  <r>
    <s v="ORD-10211"/>
    <d v="2022-08-18T00:00:00"/>
    <d v="2022-08-21T00:00:00"/>
    <s v="C-9450"/>
    <s v="Alice Martinez"/>
    <x v="1"/>
    <x v="1"/>
    <s v="Florida"/>
    <x v="2"/>
    <x v="7"/>
    <s v="5-Shelf Bookcase"/>
    <n v="1221.3"/>
    <n v="10"/>
    <n v="0"/>
    <n v="494.83"/>
    <n v="0.40516662572668466"/>
  </r>
  <r>
    <s v="ORD-10212"/>
    <d v="2022-03-12T00:00:00"/>
    <d v="2022-03-16T00:00:00"/>
    <s v="C-4974"/>
    <s v="Henry Garcia"/>
    <x v="2"/>
    <x v="2"/>
    <s v="Ohio"/>
    <x v="0"/>
    <x v="2"/>
    <s v="Canon Copier"/>
    <n v="1624.86"/>
    <n v="6"/>
    <n v="0.1"/>
    <n v="430.76"/>
    <n v="0.26510591681744888"/>
  </r>
  <r>
    <s v="ORD-10213"/>
    <d v="2023-08-29T00:00:00"/>
    <d v="2023-09-02T00:00:00"/>
    <s v="C-1023"/>
    <s v="Grace Jones"/>
    <x v="0"/>
    <x v="1"/>
    <s v="Pennsylvania"/>
    <x v="0"/>
    <x v="2"/>
    <s v="Canon Copier"/>
    <n v="1399.92"/>
    <n v="4"/>
    <n v="0"/>
    <n v="297.14"/>
    <n v="0.21225498599919992"/>
  </r>
  <r>
    <s v="ORD-10214"/>
    <d v="2022-04-17T00:00:00"/>
    <d v="2022-04-19T00:00:00"/>
    <s v="C-9515"/>
    <s v="Grace Garcia"/>
    <x v="2"/>
    <x v="1"/>
    <s v="Florida"/>
    <x v="0"/>
    <x v="0"/>
    <s v="Keyboard"/>
    <n v="148.29"/>
    <n v="5"/>
    <n v="0.05"/>
    <n v="33.47"/>
    <n v="0.22570638613527547"/>
  </r>
  <r>
    <s v="ORD-10215"/>
    <d v="2023-04-15T00:00:00"/>
    <d v="2023-04-21T00:00:00"/>
    <s v="C-3141"/>
    <s v="David Jones"/>
    <x v="1"/>
    <x v="0"/>
    <s v="California"/>
    <x v="0"/>
    <x v="2"/>
    <s v="Canon Copier"/>
    <n v="2830.16"/>
    <n v="10"/>
    <n v="0.2"/>
    <n v="804.87"/>
    <n v="0.28439028182152248"/>
  </r>
  <r>
    <s v="ORD-10216"/>
    <d v="2022-09-25T00:00:00"/>
    <d v="2022-10-02T00:00:00"/>
    <s v="C-3230"/>
    <s v="Jack Johnson"/>
    <x v="1"/>
    <x v="2"/>
    <s v="Michigan"/>
    <x v="1"/>
    <x v="10"/>
    <s v="Storage Bin"/>
    <n v="427.84"/>
    <n v="8"/>
    <n v="0"/>
    <n v="91.61"/>
    <n v="0.21412210172026927"/>
  </r>
  <r>
    <s v="ORD-10217"/>
    <d v="2022-06-09T00:00:00"/>
    <d v="2022-06-10T00:00:00"/>
    <s v="C-8591"/>
    <s v="Eve Johnson"/>
    <x v="2"/>
    <x v="1"/>
    <s v="Florida"/>
    <x v="2"/>
    <x v="9"/>
    <s v="Lamp Set"/>
    <n v="778.14"/>
    <n v="9"/>
    <n v="0.05"/>
    <n v="262.25"/>
    <n v="0.33702161564756983"/>
  </r>
  <r>
    <s v="ORD-10218"/>
    <d v="2022-04-03T00:00:00"/>
    <d v="2022-04-05T00:00:00"/>
    <s v="C-5896"/>
    <s v="Eve Williams"/>
    <x v="0"/>
    <x v="2"/>
    <s v="Texas"/>
    <x v="2"/>
    <x v="4"/>
    <s v="Standing Desk"/>
    <n v="1028.6400000000001"/>
    <n v="4"/>
    <n v="0.2"/>
    <n v="330.85"/>
    <n v="0.32163827967024422"/>
  </r>
  <r>
    <s v="ORD-10219"/>
    <d v="2022-02-01T00:00:00"/>
    <d v="2022-02-05T00:00:00"/>
    <s v="C-7563"/>
    <s v="Frank Johnson"/>
    <x v="0"/>
    <x v="3"/>
    <s v="North Carolina"/>
    <x v="2"/>
    <x v="11"/>
    <s v="Mesh Chair"/>
    <n v="292.54000000000002"/>
    <n v="2"/>
    <n v="0.05"/>
    <n v="122.08"/>
    <n v="0.41731045327134747"/>
  </r>
  <r>
    <s v="ORD-10220"/>
    <d v="2023-08-20T00:00:00"/>
    <d v="2023-08-25T00:00:00"/>
    <s v="C-6432"/>
    <s v="Bob Smith"/>
    <x v="0"/>
    <x v="2"/>
    <s v="Texas"/>
    <x v="0"/>
    <x v="0"/>
    <s v="Keyboard"/>
    <n v="340"/>
    <n v="8"/>
    <n v="0"/>
    <n v="76.069999999999993"/>
    <n v="0.22373529411764703"/>
  </r>
  <r>
    <s v="ORD-10221"/>
    <d v="2023-04-18T00:00:00"/>
    <d v="2023-04-19T00:00:00"/>
    <s v="C-4066"/>
    <s v="Eve Jones"/>
    <x v="1"/>
    <x v="1"/>
    <s v="Florida"/>
    <x v="2"/>
    <x v="9"/>
    <s v="Lamp Set"/>
    <n v="729.19"/>
    <n v="7"/>
    <n v="0"/>
    <n v="263.61"/>
    <n v="0.36151071737132984"/>
  </r>
  <r>
    <s v="ORD-10222"/>
    <d v="2023-04-02T00:00:00"/>
    <d v="2023-04-04T00:00:00"/>
    <s v="C-3248"/>
    <s v="Grace Brown"/>
    <x v="1"/>
    <x v="0"/>
    <s v="Washington"/>
    <x v="2"/>
    <x v="9"/>
    <s v="Storage Cabinet"/>
    <n v="863.1"/>
    <n v="9"/>
    <n v="0"/>
    <n v="328.03"/>
    <n v="0.38006024794345961"/>
  </r>
  <r>
    <s v="ORD-10223"/>
    <d v="2023-10-21T00:00:00"/>
    <d v="2023-10-28T00:00:00"/>
    <s v="C-9231"/>
    <s v="Frank Martinez"/>
    <x v="2"/>
    <x v="1"/>
    <s v="New York"/>
    <x v="1"/>
    <x v="10"/>
    <s v="Storage Bin"/>
    <n v="505.59"/>
    <n v="9"/>
    <n v="0.15"/>
    <n v="112.16"/>
    <n v="0.2218398306928539"/>
  </r>
  <r>
    <s v="ORD-10224"/>
    <d v="2022-10-04T00:00:00"/>
    <d v="2022-10-06T00:00:00"/>
    <s v="C-4813"/>
    <s v="Carol Johnson"/>
    <x v="1"/>
    <x v="0"/>
    <s v="Oregon"/>
    <x v="0"/>
    <x v="3"/>
    <s v="Samsung Galaxy S22"/>
    <n v="382.38"/>
    <n v="1"/>
    <n v="0.3"/>
    <n v="121.46"/>
    <n v="0.31764213609498404"/>
  </r>
  <r>
    <s v="ORD-10225"/>
    <d v="2022-09-11T00:00:00"/>
    <d v="2022-09-17T00:00:00"/>
    <s v="C-3846"/>
    <s v="Carol Brown"/>
    <x v="1"/>
    <x v="1"/>
    <s v="Virginia"/>
    <x v="1"/>
    <x v="8"/>
    <s v="Heavy Duty Binder"/>
    <n v="118.16"/>
    <n v="10"/>
    <n v="0.2"/>
    <n v="42.69"/>
    <n v="0.36128977657413675"/>
  </r>
  <r>
    <s v="ORD-10226"/>
    <d v="2023-08-30T00:00:00"/>
    <d v="2023-09-02T00:00:00"/>
    <s v="C-9064"/>
    <s v="Iris Jones"/>
    <x v="1"/>
    <x v="2"/>
    <s v="Texas"/>
    <x v="1"/>
    <x v="10"/>
    <s v="Filing Cabinet"/>
    <n v="477.56"/>
    <n v="10"/>
    <n v="0.05"/>
    <n v="115.01"/>
    <n v="0.24082837758606249"/>
  </r>
  <r>
    <s v="ORD-10227"/>
    <d v="2022-06-29T00:00:00"/>
    <d v="2022-07-03T00:00:00"/>
    <s v="C-4300"/>
    <s v="Carol Garcia"/>
    <x v="0"/>
    <x v="0"/>
    <s v="California"/>
    <x v="0"/>
    <x v="0"/>
    <s v="USB Hub"/>
    <n v="285.19"/>
    <n v="9"/>
    <n v="0.15"/>
    <n v="62.89"/>
    <n v="0.22051965356429049"/>
  </r>
  <r>
    <s v="ORD-10228"/>
    <d v="2022-07-01T00:00:00"/>
    <d v="2022-07-08T00:00:00"/>
    <s v="C-7481"/>
    <s v="Jack Johnson"/>
    <x v="0"/>
    <x v="2"/>
    <s v="Texas"/>
    <x v="0"/>
    <x v="0"/>
    <s v="USB Hub"/>
    <n v="389.79"/>
    <n v="9"/>
    <n v="0"/>
    <n v="139"/>
    <n v="0.35660227301880498"/>
  </r>
  <r>
    <s v="ORD-10229"/>
    <d v="2022-12-11T00:00:00"/>
    <d v="2022-12-14T00:00:00"/>
    <s v="C-6846"/>
    <s v="David Williams"/>
    <x v="0"/>
    <x v="2"/>
    <s v="Illinois"/>
    <x v="1"/>
    <x v="1"/>
    <s v="Mini Fridge"/>
    <n v="868"/>
    <n v="8"/>
    <n v="0"/>
    <n v="237.14"/>
    <n v="0.2732027649769585"/>
  </r>
  <r>
    <s v="ORD-10230"/>
    <d v="2023-01-23T00:00:00"/>
    <d v="2023-01-26T00:00:00"/>
    <s v="C-6213"/>
    <s v="Jack Brown"/>
    <x v="0"/>
    <x v="2"/>
    <s v="Illinois"/>
    <x v="1"/>
    <x v="8"/>
    <s v="Ring Binder"/>
    <n v="123.1"/>
    <n v="10"/>
    <n v="0"/>
    <n v="49.79"/>
    <n v="0.40446791226645007"/>
  </r>
  <r>
    <s v="ORD-10231"/>
    <d v="2023-10-17T00:00:00"/>
    <d v="2023-10-22T00:00:00"/>
    <s v="C-2453"/>
    <s v="Frank Davis"/>
    <x v="0"/>
    <x v="0"/>
    <s v="Nevada"/>
    <x v="2"/>
    <x v="11"/>
    <s v="Mesh Chair"/>
    <n v="1395.42"/>
    <n v="6"/>
    <n v="0"/>
    <n v="406"/>
    <n v="0.29095182812343234"/>
  </r>
  <r>
    <s v="ORD-10232"/>
    <d v="2022-01-12T00:00:00"/>
    <d v="2022-01-15T00:00:00"/>
    <s v="C-7875"/>
    <s v="Carol Martinez"/>
    <x v="1"/>
    <x v="1"/>
    <s v="Pennsylvania"/>
    <x v="0"/>
    <x v="6"/>
    <s v="MacBook Pro"/>
    <n v="1996.12"/>
    <n v="2"/>
    <n v="0"/>
    <n v="705.66"/>
    <n v="0.35351582069214277"/>
  </r>
  <r>
    <s v="ORD-10233"/>
    <d v="2023-05-20T00:00:00"/>
    <d v="2023-05-24T00:00:00"/>
    <s v="C-6221"/>
    <s v="Eve Johnson"/>
    <x v="0"/>
    <x v="2"/>
    <s v="Michigan"/>
    <x v="2"/>
    <x v="4"/>
    <s v="Standing Desk"/>
    <n v="1766.32"/>
    <n v="8"/>
    <n v="0"/>
    <n v="664.62"/>
    <n v="0.37627383486570953"/>
  </r>
  <r>
    <s v="ORD-10234"/>
    <d v="2022-03-17T00:00:00"/>
    <d v="2022-03-20T00:00:00"/>
    <s v="C-8066"/>
    <s v="Carol Martinez"/>
    <x v="0"/>
    <x v="1"/>
    <s v="Florida"/>
    <x v="1"/>
    <x v="8"/>
    <s v="Ring Binder"/>
    <n v="16.829999999999998"/>
    <n v="2"/>
    <n v="0.3"/>
    <n v="4.6100000000000003"/>
    <n v="0.27391562685680337"/>
  </r>
  <r>
    <s v="ORD-10235"/>
    <d v="2022-06-10T00:00:00"/>
    <d v="2022-06-11T00:00:00"/>
    <s v="C-5872"/>
    <s v="David Johnson"/>
    <x v="0"/>
    <x v="0"/>
    <s v="Oregon"/>
    <x v="0"/>
    <x v="2"/>
    <s v="Brother Printer"/>
    <n v="3045.36"/>
    <n v="9"/>
    <n v="0.1"/>
    <n v="867.47"/>
    <n v="0.28484973861875112"/>
  </r>
  <r>
    <s v="ORD-10236"/>
    <d v="2022-02-20T00:00:00"/>
    <d v="2022-02-24T00:00:00"/>
    <s v="C-1421"/>
    <s v="David Williams"/>
    <x v="0"/>
    <x v="3"/>
    <s v="North Carolina"/>
    <x v="2"/>
    <x v="11"/>
    <s v="Executive Chair"/>
    <n v="247.6"/>
    <n v="2"/>
    <n v="0.3"/>
    <n v="99.06"/>
    <n v="0.40008077544426496"/>
  </r>
  <r>
    <s v="ORD-10237"/>
    <d v="2023-10-16T00:00:00"/>
    <d v="2023-10-19T00:00:00"/>
    <s v="C-9914"/>
    <s v="Grace Williams"/>
    <x v="0"/>
    <x v="0"/>
    <s v="Nevada"/>
    <x v="2"/>
    <x v="9"/>
    <s v="Storage Cabinet"/>
    <n v="811.73"/>
    <n v="8"/>
    <n v="0.1"/>
    <n v="346.78"/>
    <n v="0.42721101844209275"/>
  </r>
  <r>
    <s v="ORD-10238"/>
    <d v="2023-01-15T00:00:00"/>
    <d v="2023-01-19T00:00:00"/>
    <s v="C-3476"/>
    <s v="Bob Johnson"/>
    <x v="2"/>
    <x v="2"/>
    <s v="Illinois"/>
    <x v="0"/>
    <x v="6"/>
    <s v="MacBook Pro"/>
    <n v="5927.4"/>
    <n v="8"/>
    <n v="0.1"/>
    <n v="1831.2"/>
    <n v="0.30893815163478089"/>
  </r>
  <r>
    <s v="ORD-10239"/>
    <d v="2023-11-16T00:00:00"/>
    <d v="2023-11-19T00:00:00"/>
    <s v="C-4860"/>
    <s v="Henry Jones"/>
    <x v="1"/>
    <x v="3"/>
    <s v="North Carolina"/>
    <x v="0"/>
    <x v="2"/>
    <s v="Brother Printer"/>
    <n v="2014.14"/>
    <n v="7"/>
    <n v="0.3"/>
    <n v="617.98"/>
    <n v="0.30682077710586153"/>
  </r>
  <r>
    <s v="ORD-10240"/>
    <d v="2022-03-22T00:00:00"/>
    <d v="2022-03-26T00:00:00"/>
    <s v="C-2283"/>
    <s v="Grace Brown"/>
    <x v="0"/>
    <x v="0"/>
    <s v="Washington"/>
    <x v="2"/>
    <x v="4"/>
    <s v="Standing Desk"/>
    <n v="1213.8"/>
    <n v="4"/>
    <n v="0"/>
    <n v="533.26"/>
    <n v="0.43933102652825839"/>
  </r>
  <r>
    <s v="ORD-10241"/>
    <d v="2023-10-05T00:00:00"/>
    <d v="2023-10-07T00:00:00"/>
    <s v="C-9514"/>
    <s v="Henry Smith"/>
    <x v="1"/>
    <x v="2"/>
    <s v="Ohio"/>
    <x v="0"/>
    <x v="3"/>
    <s v="Samsung Galaxy S22"/>
    <n v="3541.64"/>
    <n v="9"/>
    <n v="0.15"/>
    <n v="835.27"/>
    <n v="0.23584271693339809"/>
  </r>
  <r>
    <s v="ORD-10242"/>
    <d v="2023-12-19T00:00:00"/>
    <d v="2023-12-24T00:00:00"/>
    <s v="C-2654"/>
    <s v="Eve Garcia"/>
    <x v="2"/>
    <x v="3"/>
    <s v="Georgia"/>
    <x v="0"/>
    <x v="0"/>
    <s v="Keyboard"/>
    <n v="389.3"/>
    <n v="10"/>
    <n v="0"/>
    <n v="85.17"/>
    <n v="0.2187772925764192"/>
  </r>
  <r>
    <s v="ORD-10243"/>
    <d v="2023-02-25T00:00:00"/>
    <d v="2023-02-28T00:00:00"/>
    <s v="C-7581"/>
    <s v="Alice Martinez"/>
    <x v="1"/>
    <x v="3"/>
    <s v="Alabama"/>
    <x v="1"/>
    <x v="1"/>
    <s v="Coffee Maker"/>
    <n v="277.56"/>
    <n v="3"/>
    <n v="0"/>
    <n v="82"/>
    <n v="0.29543161838881682"/>
  </r>
  <r>
    <s v="ORD-10244"/>
    <d v="2022-12-06T00:00:00"/>
    <d v="2022-12-12T00:00:00"/>
    <s v="C-9054"/>
    <s v="Bob Brown"/>
    <x v="1"/>
    <x v="1"/>
    <s v="New York"/>
    <x v="2"/>
    <x v="7"/>
    <s v="3-Shelf Bookcase"/>
    <n v="108.22"/>
    <n v="1"/>
    <n v="0.1"/>
    <n v="40.29"/>
    <n v="0.37229717242653854"/>
  </r>
  <r>
    <s v="ORD-10245"/>
    <d v="2022-05-18T00:00:00"/>
    <d v="2022-05-21T00:00:00"/>
    <s v="C-7671"/>
    <s v="Henry Garcia"/>
    <x v="2"/>
    <x v="3"/>
    <s v="Tennessee"/>
    <x v="1"/>
    <x v="1"/>
    <s v="Mini Fridge"/>
    <n v="168.68"/>
    <n v="2"/>
    <n v="0.05"/>
    <n v="37.39"/>
    <n v="0.22166231918425419"/>
  </r>
  <r>
    <s v="ORD-10246"/>
    <d v="2022-02-27T00:00:00"/>
    <d v="2022-03-04T00:00:00"/>
    <s v="C-4288"/>
    <s v="Alice Brown"/>
    <x v="2"/>
    <x v="1"/>
    <s v="New York"/>
    <x v="1"/>
    <x v="1"/>
    <s v="Coffee Maker"/>
    <n v="1065.06"/>
    <n v="9"/>
    <n v="0"/>
    <n v="433.02"/>
    <n v="0.40656864402005521"/>
  </r>
  <r>
    <s v="ORD-10247"/>
    <d v="2022-02-03T00:00:00"/>
    <d v="2022-02-07T00:00:00"/>
    <s v="C-4963"/>
    <s v="Frank Davis"/>
    <x v="1"/>
    <x v="0"/>
    <s v="Oregon"/>
    <x v="0"/>
    <x v="6"/>
    <s v="MacBook Pro"/>
    <n v="7325.68"/>
    <n v="8"/>
    <n v="0"/>
    <n v="2049.04"/>
    <n v="0.27970645728451143"/>
  </r>
  <r>
    <s v="ORD-10248"/>
    <d v="2023-09-01T00:00:00"/>
    <d v="2023-09-05T00:00:00"/>
    <s v="C-2480"/>
    <s v="Eve Smith"/>
    <x v="1"/>
    <x v="1"/>
    <s v="Florida"/>
    <x v="1"/>
    <x v="10"/>
    <s v="Storage Bin"/>
    <n v="182.2"/>
    <n v="3"/>
    <n v="0.1"/>
    <n v="47.87"/>
    <n v="0.26273326015367726"/>
  </r>
  <r>
    <s v="ORD-10249"/>
    <d v="2023-01-31T00:00:00"/>
    <d v="2023-02-01T00:00:00"/>
    <s v="C-1145"/>
    <s v="Henry Williams"/>
    <x v="0"/>
    <x v="1"/>
    <s v="Pennsylvania"/>
    <x v="1"/>
    <x v="5"/>
    <s v="Copy Paper"/>
    <n v="55.94"/>
    <n v="4"/>
    <n v="0.2"/>
    <n v="17.989999999999998"/>
    <n v="0.32159456560600641"/>
  </r>
  <r>
    <s v="ORD-10250"/>
    <d v="2023-10-25T00:00:00"/>
    <d v="2023-10-27T00:00:00"/>
    <s v="C-8520"/>
    <s v="Eve Brown"/>
    <x v="2"/>
    <x v="0"/>
    <s v="Washington"/>
    <x v="1"/>
    <x v="10"/>
    <s v="Filing Cabinet"/>
    <n v="228.96"/>
    <n v="5"/>
    <n v="0.2"/>
    <n v="54.29"/>
    <n v="0.23711565338923829"/>
  </r>
  <r>
    <s v="ORD-10251"/>
    <d v="2023-04-23T00:00:00"/>
    <d v="2023-04-26T00:00:00"/>
    <s v="C-8892"/>
    <s v="Bob Garcia"/>
    <x v="0"/>
    <x v="3"/>
    <s v="Georgia"/>
    <x v="1"/>
    <x v="10"/>
    <s v="Filing Cabinet"/>
    <n v="556.38"/>
    <n v="10"/>
    <n v="0.1"/>
    <n v="155.16999999999999"/>
    <n v="0.27889212408785363"/>
  </r>
  <r>
    <s v="ORD-10252"/>
    <d v="2022-10-11T00:00:00"/>
    <d v="2022-10-17T00:00:00"/>
    <s v="C-7620"/>
    <s v="Frank Williams"/>
    <x v="2"/>
    <x v="2"/>
    <s v="Ohio"/>
    <x v="1"/>
    <x v="10"/>
    <s v="File Box"/>
    <n v="169.72"/>
    <n v="3"/>
    <n v="0.05"/>
    <n v="38.200000000000003"/>
    <n v="0.22507659674758426"/>
  </r>
  <r>
    <s v="ORD-10253"/>
    <d v="2022-01-27T00:00:00"/>
    <d v="2022-02-02T00:00:00"/>
    <s v="C-4643"/>
    <s v="Iris Davis"/>
    <x v="2"/>
    <x v="3"/>
    <s v="Tennessee"/>
    <x v="2"/>
    <x v="9"/>
    <s v="Storage Cabinet"/>
    <n v="95.1"/>
    <n v="1"/>
    <n v="0.05"/>
    <n v="34.64"/>
    <n v="0.36424815983175607"/>
  </r>
  <r>
    <s v="ORD-10254"/>
    <d v="2023-11-19T00:00:00"/>
    <d v="2023-11-22T00:00:00"/>
    <s v="C-3999"/>
    <s v="Frank Johnson"/>
    <x v="1"/>
    <x v="2"/>
    <s v="Illinois"/>
    <x v="1"/>
    <x v="5"/>
    <s v="Legal Pad"/>
    <n v="34.4"/>
    <n v="2"/>
    <n v="0.1"/>
    <n v="9.24"/>
    <n v="0.2686046511627907"/>
  </r>
  <r>
    <s v="ORD-10255"/>
    <d v="2022-08-16T00:00:00"/>
    <d v="2022-08-19T00:00:00"/>
    <s v="C-2166"/>
    <s v="Henry Brown"/>
    <x v="2"/>
    <x v="1"/>
    <s v="Virginia"/>
    <x v="2"/>
    <x v="7"/>
    <s v="3-Shelf Bookcase"/>
    <n v="1178.8"/>
    <n v="10"/>
    <n v="0"/>
    <n v="391.79"/>
    <n v="0.33236342042755346"/>
  </r>
  <r>
    <s v="ORD-10256"/>
    <d v="2023-05-28T00:00:00"/>
    <d v="2023-05-29T00:00:00"/>
    <s v="C-3954"/>
    <s v="Bob Davis"/>
    <x v="2"/>
    <x v="3"/>
    <s v="Tennessee"/>
    <x v="0"/>
    <x v="0"/>
    <s v="USB Hub"/>
    <n v="98.42"/>
    <n v="4"/>
    <n v="0.3"/>
    <n v="40.76"/>
    <n v="0.41414346677504571"/>
  </r>
  <r>
    <s v="ORD-10257"/>
    <d v="2022-12-07T00:00:00"/>
    <d v="2022-12-13T00:00:00"/>
    <s v="C-3595"/>
    <s v="Henry Johnson"/>
    <x v="1"/>
    <x v="1"/>
    <s v="Virginia"/>
    <x v="0"/>
    <x v="3"/>
    <s v="Samsung Galaxy S22"/>
    <n v="2124.5"/>
    <n v="5"/>
    <n v="0"/>
    <n v="649.95000000000005"/>
    <n v="0.30593080724876442"/>
  </r>
  <r>
    <s v="ORD-10258"/>
    <d v="2022-05-13T00:00:00"/>
    <d v="2022-05-18T00:00:00"/>
    <s v="C-1230"/>
    <s v="Frank Brown"/>
    <x v="2"/>
    <x v="3"/>
    <s v="Alabama"/>
    <x v="2"/>
    <x v="9"/>
    <s v="Storage Cabinet"/>
    <n v="74.13"/>
    <n v="1"/>
    <n v="0.05"/>
    <n v="19.82"/>
    <n v="0.26736813705652235"/>
  </r>
  <r>
    <s v="ORD-10259"/>
    <d v="2022-01-19T00:00:00"/>
    <d v="2022-01-25T00:00:00"/>
    <s v="C-1749"/>
    <s v="Eve Jones"/>
    <x v="0"/>
    <x v="0"/>
    <s v="Washington"/>
    <x v="1"/>
    <x v="10"/>
    <s v="Storage Bin"/>
    <n v="133.08000000000001"/>
    <n v="3"/>
    <n v="0.1"/>
    <n v="54.33"/>
    <n v="0.40825067628494133"/>
  </r>
  <r>
    <s v="ORD-10260"/>
    <d v="2023-04-12T00:00:00"/>
    <d v="2023-04-18T00:00:00"/>
    <s v="C-7609"/>
    <s v="Alice Brown"/>
    <x v="1"/>
    <x v="2"/>
    <s v="Michigan"/>
    <x v="0"/>
    <x v="6"/>
    <s v="MacBook Pro"/>
    <n v="6056.52"/>
    <n v="6"/>
    <n v="0"/>
    <n v="1289.9100000000001"/>
    <n v="0.21297874026668781"/>
  </r>
  <r>
    <s v="ORD-10261"/>
    <d v="2022-08-18T00:00:00"/>
    <d v="2022-08-24T00:00:00"/>
    <s v="C-5190"/>
    <s v="Iris Smith"/>
    <x v="1"/>
    <x v="1"/>
    <s v="Pennsylvania"/>
    <x v="0"/>
    <x v="0"/>
    <s v="USB Hub"/>
    <n v="245.7"/>
    <n v="6"/>
    <n v="0"/>
    <n v="87.52"/>
    <n v="0.35620675620675618"/>
  </r>
  <r>
    <s v="ORD-10262"/>
    <d v="2023-09-01T00:00:00"/>
    <d v="2023-09-02T00:00:00"/>
    <s v="C-3508"/>
    <s v="David Smith"/>
    <x v="0"/>
    <x v="0"/>
    <s v="California"/>
    <x v="1"/>
    <x v="8"/>
    <s v="Presentation Binder"/>
    <n v="88.2"/>
    <n v="8"/>
    <n v="0.1"/>
    <n v="29.23"/>
    <n v="0.33140589569161"/>
  </r>
  <r>
    <s v="ORD-10263"/>
    <d v="2022-11-05T00:00:00"/>
    <d v="2022-11-09T00:00:00"/>
    <s v="C-2741"/>
    <s v="Henry Brown"/>
    <x v="1"/>
    <x v="0"/>
    <s v="Oregon"/>
    <x v="1"/>
    <x v="5"/>
    <s v="Legal Pad"/>
    <n v="38.880000000000003"/>
    <n v="2"/>
    <n v="0"/>
    <n v="14.75"/>
    <n v="0.3793724279835391"/>
  </r>
  <r>
    <s v="ORD-10264"/>
    <d v="2023-09-16T00:00:00"/>
    <d v="2023-09-18T00:00:00"/>
    <s v="C-8875"/>
    <s v="Frank Brown"/>
    <x v="2"/>
    <x v="2"/>
    <s v="Illinois"/>
    <x v="1"/>
    <x v="1"/>
    <s v="Microwave"/>
    <n v="173.1"/>
    <n v="3"/>
    <n v="0.3"/>
    <n v="38.5"/>
    <n v="0.22241478913922588"/>
  </r>
  <r>
    <s v="ORD-10265"/>
    <d v="2022-01-03T00:00:00"/>
    <d v="2022-01-04T00:00:00"/>
    <s v="C-2659"/>
    <s v="Eve Brown"/>
    <x v="1"/>
    <x v="0"/>
    <s v="California"/>
    <x v="1"/>
    <x v="1"/>
    <s v="Coffee Maker"/>
    <n v="228.14"/>
    <n v="2"/>
    <n v="0"/>
    <n v="61.39"/>
    <n v="0.26908915578153769"/>
  </r>
  <r>
    <s v="ORD-10266"/>
    <d v="2023-04-13T00:00:00"/>
    <d v="2023-04-16T00:00:00"/>
    <s v="C-2898"/>
    <s v="Bob Smith"/>
    <x v="0"/>
    <x v="2"/>
    <s v="Michigan"/>
    <x v="0"/>
    <x v="0"/>
    <s v="USB Hub"/>
    <n v="150.54"/>
    <n v="5"/>
    <n v="0.15"/>
    <n v="51.71"/>
    <n v="0.34349674505114924"/>
  </r>
  <r>
    <s v="ORD-10267"/>
    <d v="2022-01-10T00:00:00"/>
    <d v="2022-01-17T00:00:00"/>
    <s v="C-6615"/>
    <s v="Carol Johnson"/>
    <x v="2"/>
    <x v="1"/>
    <s v="Pennsylvania"/>
    <x v="2"/>
    <x v="9"/>
    <s v="Whiteboard"/>
    <n v="560.4"/>
    <n v="5"/>
    <n v="0"/>
    <n v="199.98"/>
    <n v="0.35685224839400426"/>
  </r>
  <r>
    <s v="ORD-10268"/>
    <d v="2023-02-15T00:00:00"/>
    <d v="2023-02-19T00:00:00"/>
    <s v="C-3611"/>
    <s v="Bob Martinez"/>
    <x v="2"/>
    <x v="3"/>
    <s v="Tennessee"/>
    <x v="1"/>
    <x v="1"/>
    <s v="Microwave"/>
    <n v="256.74"/>
    <n v="3"/>
    <n v="0"/>
    <n v="52.53"/>
    <n v="0.20460387941107736"/>
  </r>
  <r>
    <s v="ORD-10269"/>
    <d v="2023-08-28T00:00:00"/>
    <d v="2023-09-01T00:00:00"/>
    <s v="C-8997"/>
    <s v="Bob Martinez"/>
    <x v="1"/>
    <x v="3"/>
    <s v="North Carolina"/>
    <x v="2"/>
    <x v="7"/>
    <s v="Corner Bookcase"/>
    <n v="148.58000000000001"/>
    <n v="1"/>
    <n v="0"/>
    <n v="48.92"/>
    <n v="0.32925023556333288"/>
  </r>
  <r>
    <s v="ORD-10270"/>
    <d v="2023-03-28T00:00:00"/>
    <d v="2023-03-29T00:00:00"/>
    <s v="C-6542"/>
    <s v="Iris Johnson"/>
    <x v="1"/>
    <x v="0"/>
    <s v="Oregon"/>
    <x v="2"/>
    <x v="11"/>
    <s v="Folding Chair"/>
    <n v="1839.7"/>
    <n v="9"/>
    <n v="0.05"/>
    <n v="378.11"/>
    <n v="0.20552807522965702"/>
  </r>
  <r>
    <s v="ORD-10271"/>
    <d v="2023-03-20T00:00:00"/>
    <d v="2023-03-26T00:00:00"/>
    <s v="C-3571"/>
    <s v="Iris Davis"/>
    <x v="2"/>
    <x v="1"/>
    <s v="Florida"/>
    <x v="1"/>
    <x v="1"/>
    <s v="Coffee Maker"/>
    <n v="1070.01"/>
    <n v="9"/>
    <n v="0"/>
    <n v="478.39"/>
    <n v="0.44708927953944355"/>
  </r>
  <r>
    <s v="ORD-10272"/>
    <d v="2023-05-23T00:00:00"/>
    <d v="2023-05-30T00:00:00"/>
    <s v="C-7203"/>
    <s v="Grace Brown"/>
    <x v="2"/>
    <x v="1"/>
    <s v="New York"/>
    <x v="2"/>
    <x v="4"/>
    <s v="Conference Table"/>
    <n v="1036.26"/>
    <n v="5"/>
    <n v="0.05"/>
    <n v="323.7"/>
    <n v="0.31237334259741761"/>
  </r>
  <r>
    <s v="ORD-10273"/>
    <d v="2022-03-22T00:00:00"/>
    <d v="2022-03-26T00:00:00"/>
    <s v="C-7755"/>
    <s v="Alice Smith"/>
    <x v="0"/>
    <x v="3"/>
    <s v="Alabama"/>
    <x v="2"/>
    <x v="9"/>
    <s v="Storage Cabinet"/>
    <n v="232.44"/>
    <n v="2"/>
    <n v="0"/>
    <n v="98.63"/>
    <n v="0.42432455687489246"/>
  </r>
  <r>
    <s v="ORD-10274"/>
    <d v="2022-04-04T00:00:00"/>
    <d v="2022-04-11T00:00:00"/>
    <s v="C-6439"/>
    <s v="Iris Davis"/>
    <x v="1"/>
    <x v="2"/>
    <s v="Illinois"/>
    <x v="1"/>
    <x v="1"/>
    <s v="Microwave"/>
    <n v="661.37"/>
    <n v="6"/>
    <n v="0.05"/>
    <n v="158.01"/>
    <n v="0.23891316509669322"/>
  </r>
  <r>
    <s v="ORD-10275"/>
    <d v="2023-11-04T00:00:00"/>
    <d v="2023-11-07T00:00:00"/>
    <s v="C-7125"/>
    <s v="Bob Smith"/>
    <x v="0"/>
    <x v="3"/>
    <s v="Georgia"/>
    <x v="1"/>
    <x v="5"/>
    <s v="A4 Ream"/>
    <n v="98.17"/>
    <n v="6"/>
    <n v="0.1"/>
    <n v="30.73"/>
    <n v="0.31302842008760312"/>
  </r>
  <r>
    <s v="ORD-10276"/>
    <d v="2022-06-18T00:00:00"/>
    <d v="2022-06-22T00:00:00"/>
    <s v="C-4122"/>
    <s v="Frank Johnson"/>
    <x v="0"/>
    <x v="1"/>
    <s v="Florida"/>
    <x v="2"/>
    <x v="4"/>
    <s v="Standing Desk"/>
    <n v="507.44"/>
    <n v="2"/>
    <n v="0.2"/>
    <n v="201"/>
    <n v="0.39610594355982975"/>
  </r>
  <r>
    <s v="ORD-10277"/>
    <d v="2023-03-01T00:00:00"/>
    <d v="2023-03-02T00:00:00"/>
    <s v="C-8091"/>
    <s v="Jack Davis"/>
    <x v="2"/>
    <x v="0"/>
    <s v="Nevada"/>
    <x v="1"/>
    <x v="5"/>
    <s v="Legal Pad"/>
    <n v="19.600000000000001"/>
    <n v="1"/>
    <n v="0"/>
    <n v="6.11"/>
    <n v="0.31173469387755104"/>
  </r>
  <r>
    <s v="ORD-10278"/>
    <d v="2023-06-05T00:00:00"/>
    <d v="2023-06-12T00:00:00"/>
    <s v="C-7302"/>
    <s v="Grace Brown"/>
    <x v="1"/>
    <x v="1"/>
    <s v="Pennsylvania"/>
    <x v="0"/>
    <x v="3"/>
    <s v="Samsung Galaxy S22"/>
    <n v="4294.62"/>
    <n v="10"/>
    <n v="0.15"/>
    <n v="1391.34"/>
    <n v="0.32397278455369738"/>
  </r>
  <r>
    <s v="ORD-10279"/>
    <d v="2022-10-08T00:00:00"/>
    <d v="2022-10-12T00:00:00"/>
    <s v="C-9975"/>
    <s v="Frank Brown"/>
    <x v="2"/>
    <x v="2"/>
    <s v="Ohio"/>
    <x v="0"/>
    <x v="0"/>
    <s v="Wireless Mouse"/>
    <n v="367.02"/>
    <n v="10"/>
    <n v="0.1"/>
    <n v="87.8"/>
    <n v="0.23922402048934663"/>
  </r>
  <r>
    <s v="ORD-10280"/>
    <d v="2022-07-25T00:00:00"/>
    <d v="2022-07-27T00:00:00"/>
    <s v="C-6771"/>
    <s v="Iris Davis"/>
    <x v="1"/>
    <x v="2"/>
    <s v="Ohio"/>
    <x v="0"/>
    <x v="0"/>
    <s v="Keyboard"/>
    <n v="311.27999999999997"/>
    <n v="9"/>
    <n v="0.15"/>
    <n v="84.8"/>
    <n v="0.27242354150603959"/>
  </r>
  <r>
    <s v="ORD-10281"/>
    <d v="2023-08-20T00:00:00"/>
    <d v="2023-08-25T00:00:00"/>
    <s v="C-3636"/>
    <s v="Eve Jones"/>
    <x v="2"/>
    <x v="3"/>
    <s v="Tennessee"/>
    <x v="0"/>
    <x v="3"/>
    <s v="iPhone 13"/>
    <n v="2883.51"/>
    <n v="7"/>
    <n v="0"/>
    <n v="1153.47"/>
    <n v="0.40002288877097703"/>
  </r>
  <r>
    <s v="ORD-10282"/>
    <d v="2022-05-30T00:00:00"/>
    <d v="2022-06-06T00:00:00"/>
    <s v="C-7371"/>
    <s v="David Jones"/>
    <x v="0"/>
    <x v="0"/>
    <s v="Oregon"/>
    <x v="1"/>
    <x v="8"/>
    <s v="Presentation Binder"/>
    <n v="81.7"/>
    <n v="8"/>
    <n v="0.05"/>
    <n v="21.6"/>
    <n v="0.26438188494492043"/>
  </r>
  <r>
    <s v="ORD-10283"/>
    <d v="2023-12-11T00:00:00"/>
    <d v="2023-12-17T00:00:00"/>
    <s v="C-8259"/>
    <s v="David Garcia"/>
    <x v="2"/>
    <x v="0"/>
    <s v="Nevada"/>
    <x v="2"/>
    <x v="7"/>
    <s v="Corner Bookcase"/>
    <n v="92.43"/>
    <n v="1"/>
    <n v="0.1"/>
    <n v="36.9"/>
    <n v="0.39922103213242449"/>
  </r>
  <r>
    <s v="ORD-10284"/>
    <d v="2023-08-26T00:00:00"/>
    <d v="2023-08-31T00:00:00"/>
    <s v="C-2955"/>
    <s v="Grace Smith"/>
    <x v="2"/>
    <x v="1"/>
    <s v="Pennsylvania"/>
    <x v="2"/>
    <x v="4"/>
    <s v="Side Table"/>
    <n v="467.06"/>
    <n v="2"/>
    <n v="0"/>
    <n v="124.35"/>
    <n v="0.26623988352674172"/>
  </r>
  <r>
    <s v="ORD-10285"/>
    <d v="2023-03-15T00:00:00"/>
    <d v="2023-03-18T00:00:00"/>
    <s v="C-6285"/>
    <s v="Jack Smith"/>
    <x v="0"/>
    <x v="2"/>
    <s v="Illinois"/>
    <x v="1"/>
    <x v="10"/>
    <s v="File Box"/>
    <n v="349.74"/>
    <n v="6"/>
    <n v="0"/>
    <n v="153.88999999999999"/>
    <n v="0.4400125807742894"/>
  </r>
  <r>
    <s v="ORD-10286"/>
    <d v="2023-10-03T00:00:00"/>
    <d v="2023-10-08T00:00:00"/>
    <s v="C-9276"/>
    <s v="Carol Martinez"/>
    <x v="1"/>
    <x v="2"/>
    <s v="Michigan"/>
    <x v="1"/>
    <x v="10"/>
    <s v="File Box"/>
    <n v="358.5"/>
    <n v="6"/>
    <n v="0"/>
    <n v="114.67"/>
    <n v="0.31986052998605302"/>
  </r>
  <r>
    <s v="ORD-10287"/>
    <d v="2023-07-11T00:00:00"/>
    <d v="2023-07-16T00:00:00"/>
    <s v="C-9691"/>
    <s v="Henry Smith"/>
    <x v="2"/>
    <x v="3"/>
    <s v="Georgia"/>
    <x v="0"/>
    <x v="0"/>
    <s v="Keyboard"/>
    <n v="188.78"/>
    <n v="6"/>
    <n v="0.1"/>
    <n v="74.64"/>
    <n v="0.39538086661722638"/>
  </r>
  <r>
    <s v="ORD-10288"/>
    <d v="2022-04-28T00:00:00"/>
    <d v="2022-05-04T00:00:00"/>
    <s v="C-9851"/>
    <s v="Eve Smith"/>
    <x v="0"/>
    <x v="2"/>
    <s v="Michigan"/>
    <x v="1"/>
    <x v="5"/>
    <s v="A4 Ream"/>
    <n v="110.34"/>
    <n v="6"/>
    <n v="0"/>
    <n v="39.01"/>
    <n v="0.35354359253217327"/>
  </r>
  <r>
    <s v="ORD-10289"/>
    <d v="2023-06-14T00:00:00"/>
    <d v="2023-06-21T00:00:00"/>
    <s v="C-3742"/>
    <s v="Iris Smith"/>
    <x v="2"/>
    <x v="2"/>
    <s v="Michigan"/>
    <x v="0"/>
    <x v="6"/>
    <s v="HP Notebook"/>
    <n v="3380.08"/>
    <n v="4"/>
    <n v="0"/>
    <n v="719.78"/>
    <n v="0.21294762254147831"/>
  </r>
  <r>
    <s v="ORD-10290"/>
    <d v="2023-10-04T00:00:00"/>
    <d v="2023-10-05T00:00:00"/>
    <s v="C-2181"/>
    <s v="Carol Smith"/>
    <x v="1"/>
    <x v="1"/>
    <s v="Pennsylvania"/>
    <x v="2"/>
    <x v="11"/>
    <s v="Mesh Chair"/>
    <n v="1584.94"/>
    <n v="9"/>
    <n v="0.2"/>
    <n v="457.03"/>
    <n v="0.28835791891175688"/>
  </r>
  <r>
    <s v="ORD-10291"/>
    <d v="2023-04-16T00:00:00"/>
    <d v="2023-04-22T00:00:00"/>
    <s v="C-7678"/>
    <s v="Grace Davis"/>
    <x v="0"/>
    <x v="2"/>
    <s v="Texas"/>
    <x v="0"/>
    <x v="3"/>
    <s v="iPhone 13"/>
    <n v="2353.67"/>
    <n v="5"/>
    <n v="0.05"/>
    <n v="523.11"/>
    <n v="0.22225290716200657"/>
  </r>
  <r>
    <s v="ORD-10292"/>
    <d v="2023-10-08T00:00:00"/>
    <d v="2023-10-12T00:00:00"/>
    <s v="C-1745"/>
    <s v="Bob Garcia"/>
    <x v="0"/>
    <x v="3"/>
    <s v="Tennessee"/>
    <x v="2"/>
    <x v="11"/>
    <s v="Folding Chair"/>
    <n v="204.96"/>
    <n v="1"/>
    <n v="0"/>
    <n v="53.5"/>
    <n v="0.26102654176424667"/>
  </r>
  <r>
    <s v="ORD-10293"/>
    <d v="2023-05-30T00:00:00"/>
    <d v="2023-05-31T00:00:00"/>
    <s v="C-9740"/>
    <s v="David Williams"/>
    <x v="1"/>
    <x v="2"/>
    <s v="Ohio"/>
    <x v="0"/>
    <x v="6"/>
    <s v="MacBook Pro"/>
    <n v="6115.41"/>
    <n v="7"/>
    <n v="0"/>
    <n v="2027.28"/>
    <n v="0.33150352960799029"/>
  </r>
  <r>
    <s v="ORD-10294"/>
    <d v="2023-02-05T00:00:00"/>
    <d v="2023-02-12T00:00:00"/>
    <s v="C-1082"/>
    <s v="Jack Martinez"/>
    <x v="2"/>
    <x v="2"/>
    <s v="Illinois"/>
    <x v="1"/>
    <x v="10"/>
    <s v="File Box"/>
    <n v="615.6"/>
    <n v="9"/>
    <n v="0"/>
    <n v="258.05"/>
    <n v="0.41918453541260559"/>
  </r>
  <r>
    <s v="ORD-10295"/>
    <d v="2023-07-05T00:00:00"/>
    <d v="2023-07-10T00:00:00"/>
    <s v="C-4617"/>
    <s v="Jack Jones"/>
    <x v="0"/>
    <x v="0"/>
    <s v="Oregon"/>
    <x v="1"/>
    <x v="10"/>
    <s v="File Box"/>
    <n v="484.12"/>
    <n v="7"/>
    <n v="0"/>
    <n v="198.37"/>
    <n v="0.40975378005453195"/>
  </r>
  <r>
    <s v="ORD-10296"/>
    <d v="2022-07-18T00:00:00"/>
    <d v="2022-07-19T00:00:00"/>
    <s v="C-8982"/>
    <s v="Frank Garcia"/>
    <x v="1"/>
    <x v="1"/>
    <s v="New York"/>
    <x v="2"/>
    <x v="11"/>
    <s v="Executive Chair"/>
    <n v="329.29"/>
    <n v="2"/>
    <n v="0.05"/>
    <n v="88.45"/>
    <n v="0.268608217680464"/>
  </r>
  <r>
    <s v="ORD-10297"/>
    <d v="2022-05-12T00:00:00"/>
    <d v="2022-05-18T00:00:00"/>
    <s v="C-6008"/>
    <s v="Jack Williams"/>
    <x v="2"/>
    <x v="1"/>
    <s v="New York"/>
    <x v="1"/>
    <x v="8"/>
    <s v="Heavy Duty Binder"/>
    <n v="65.38"/>
    <n v="6"/>
    <n v="0.15"/>
    <n v="19.350000000000001"/>
    <n v="0.29596206791067609"/>
  </r>
  <r>
    <s v="ORD-10298"/>
    <d v="2023-08-03T00:00:00"/>
    <d v="2023-08-08T00:00:00"/>
    <s v="C-6889"/>
    <s v="Carol Garcia"/>
    <x v="2"/>
    <x v="2"/>
    <s v="Ohio"/>
    <x v="0"/>
    <x v="3"/>
    <s v="Samsung Galaxy S22"/>
    <n v="1733.12"/>
    <n v="4"/>
    <n v="0.2"/>
    <n v="660.02"/>
    <n v="0.38082764032496308"/>
  </r>
  <r>
    <s v="ORD-10299"/>
    <d v="2023-05-07T00:00:00"/>
    <d v="2023-05-11T00:00:00"/>
    <s v="C-3293"/>
    <s v="Iris Brown"/>
    <x v="2"/>
    <x v="3"/>
    <s v="Tennessee"/>
    <x v="2"/>
    <x v="11"/>
    <s v="Mesh Chair"/>
    <n v="1436.76"/>
    <n v="10"/>
    <n v="0.1"/>
    <n v="338.1"/>
    <n v="0.23532113922993403"/>
  </r>
  <r>
    <s v="ORD-10300"/>
    <d v="2022-09-27T00:00:00"/>
    <d v="2022-10-03T00:00:00"/>
    <s v="C-5269"/>
    <s v="Iris Davis"/>
    <x v="0"/>
    <x v="0"/>
    <s v="California"/>
    <x v="1"/>
    <x v="8"/>
    <s v="Ring Binder"/>
    <n v="117.7"/>
    <n v="10"/>
    <n v="0.05"/>
    <n v="26.3"/>
    <n v="0.22344944774851316"/>
  </r>
  <r>
    <s v="ORD-10301"/>
    <d v="2023-11-01T00:00:00"/>
    <d v="2023-11-08T00:00:00"/>
    <s v="C-9227"/>
    <s v="Alice Brown"/>
    <x v="2"/>
    <x v="1"/>
    <s v="Virginia"/>
    <x v="0"/>
    <x v="6"/>
    <s v="Dell Laptop"/>
    <n v="7313.44"/>
    <n v="8"/>
    <n v="0"/>
    <n v="2565.58"/>
    <n v="0.3508034522741692"/>
  </r>
  <r>
    <s v="ORD-10302"/>
    <d v="2023-09-21T00:00:00"/>
    <d v="2023-09-27T00:00:00"/>
    <s v="C-8921"/>
    <s v="Frank Smith"/>
    <x v="2"/>
    <x v="1"/>
    <s v="Pennsylvania"/>
    <x v="0"/>
    <x v="0"/>
    <s v="Keyboard"/>
    <n v="401.4"/>
    <n v="10"/>
    <n v="0"/>
    <n v="106.78"/>
    <n v="0.26601893373193825"/>
  </r>
  <r>
    <s v="ORD-10303"/>
    <d v="2022-08-13T00:00:00"/>
    <d v="2022-08-20T00:00:00"/>
    <s v="C-8448"/>
    <s v="Alice Smith"/>
    <x v="0"/>
    <x v="3"/>
    <s v="North Carolina"/>
    <x v="2"/>
    <x v="7"/>
    <s v="5-Shelf Bookcase"/>
    <n v="117.38"/>
    <n v="1"/>
    <n v="0.15"/>
    <n v="41.43"/>
    <n v="0.3529562105980576"/>
  </r>
  <r>
    <s v="ORD-10304"/>
    <d v="2023-10-27T00:00:00"/>
    <d v="2023-10-30T00:00:00"/>
    <s v="C-7165"/>
    <s v="David Martinez"/>
    <x v="1"/>
    <x v="0"/>
    <s v="Oregon"/>
    <x v="2"/>
    <x v="4"/>
    <s v="Conference Table"/>
    <n v="1775.2"/>
    <n v="7"/>
    <n v="0"/>
    <n v="569.54999999999995"/>
    <n v="0.32083708877872913"/>
  </r>
  <r>
    <s v="ORD-10305"/>
    <d v="2022-12-28T00:00:00"/>
    <d v="2023-01-04T00:00:00"/>
    <s v="C-5600"/>
    <s v="David Williams"/>
    <x v="2"/>
    <x v="2"/>
    <s v="Michigan"/>
    <x v="1"/>
    <x v="8"/>
    <s v="Ring Binder"/>
    <n v="35.85"/>
    <n v="3"/>
    <n v="0.05"/>
    <n v="15.44"/>
    <n v="0.4306834030683403"/>
  </r>
  <r>
    <s v="ORD-10306"/>
    <d v="2022-07-11T00:00:00"/>
    <d v="2022-07-13T00:00:00"/>
    <s v="C-3641"/>
    <s v="Grace Smith"/>
    <x v="1"/>
    <x v="2"/>
    <s v="Texas"/>
    <x v="0"/>
    <x v="2"/>
    <s v="Xerox MX"/>
    <n v="477.88"/>
    <n v="2"/>
    <n v="0.3"/>
    <n v="157.82"/>
    <n v="0.33025027203482044"/>
  </r>
  <r>
    <s v="ORD-10307"/>
    <d v="2022-09-07T00:00:00"/>
    <d v="2022-09-08T00:00:00"/>
    <s v="C-9464"/>
    <s v="Grace Smith"/>
    <x v="0"/>
    <x v="1"/>
    <s v="Pennsylvania"/>
    <x v="1"/>
    <x v="8"/>
    <s v="Ring Binder"/>
    <n v="28.35"/>
    <n v="3"/>
    <n v="0.1"/>
    <n v="6.22"/>
    <n v="0.21940035273368605"/>
  </r>
  <r>
    <s v="ORD-10308"/>
    <d v="2023-11-09T00:00:00"/>
    <d v="2023-11-16T00:00:00"/>
    <s v="C-3979"/>
    <s v="Jack Jones"/>
    <x v="0"/>
    <x v="2"/>
    <s v="Texas"/>
    <x v="2"/>
    <x v="9"/>
    <s v="Storage Cabinet"/>
    <n v="204.91"/>
    <n v="3"/>
    <n v="0.2"/>
    <n v="61.43"/>
    <n v="0.29979015177394952"/>
  </r>
  <r>
    <s v="ORD-10309"/>
    <d v="2022-06-21T00:00:00"/>
    <d v="2022-06-27T00:00:00"/>
    <s v="C-9564"/>
    <s v="Iris Martinez"/>
    <x v="1"/>
    <x v="2"/>
    <s v="Michigan"/>
    <x v="1"/>
    <x v="8"/>
    <s v="Heavy Duty Binder"/>
    <n v="85.96"/>
    <n v="7"/>
    <n v="0"/>
    <n v="38.33"/>
    <n v="0.44590507212657049"/>
  </r>
  <r>
    <s v="ORD-10310"/>
    <d v="2022-06-03T00:00:00"/>
    <d v="2022-06-08T00:00:00"/>
    <s v="C-3135"/>
    <s v="Jack Smith"/>
    <x v="2"/>
    <x v="0"/>
    <s v="Washington"/>
    <x v="1"/>
    <x v="8"/>
    <s v="Ring Binder"/>
    <n v="128.34"/>
    <n v="9"/>
    <n v="0"/>
    <n v="42.28"/>
    <n v="0.32943743182172353"/>
  </r>
  <r>
    <s v="ORD-10311"/>
    <d v="2023-11-26T00:00:00"/>
    <d v="2023-12-02T00:00:00"/>
    <s v="C-2600"/>
    <s v="Grace Williams"/>
    <x v="2"/>
    <x v="3"/>
    <s v="Alabama"/>
    <x v="0"/>
    <x v="2"/>
    <s v="Canon Copier"/>
    <n v="2468.48"/>
    <n v="8"/>
    <n v="0.2"/>
    <n v="894.5"/>
    <n v="0.36236874513870881"/>
  </r>
  <r>
    <s v="ORD-10312"/>
    <d v="2022-09-18T00:00:00"/>
    <d v="2022-09-22T00:00:00"/>
    <s v="C-2930"/>
    <s v="Iris Smith"/>
    <x v="2"/>
    <x v="1"/>
    <s v="New York"/>
    <x v="1"/>
    <x v="1"/>
    <s v="Microwave"/>
    <n v="323.92"/>
    <n v="4"/>
    <n v="0"/>
    <n v="98.96"/>
    <n v="0.30550753272412939"/>
  </r>
  <r>
    <s v="ORD-10313"/>
    <d v="2023-01-20T00:00:00"/>
    <d v="2023-01-26T00:00:00"/>
    <s v="C-9783"/>
    <s v="Grace Garcia"/>
    <x v="2"/>
    <x v="1"/>
    <s v="Virginia"/>
    <x v="2"/>
    <x v="11"/>
    <s v="Mesh Chair"/>
    <n v="1296.4100000000001"/>
    <n v="7"/>
    <n v="0.1"/>
    <n v="498.7"/>
    <n v="0.38467768684289688"/>
  </r>
  <r>
    <s v="ORD-10314"/>
    <d v="2023-09-19T00:00:00"/>
    <d v="2023-09-22T00:00:00"/>
    <s v="C-6024"/>
    <s v="Jack Garcia"/>
    <x v="2"/>
    <x v="3"/>
    <s v="North Carolina"/>
    <x v="1"/>
    <x v="1"/>
    <s v="Coffee Maker"/>
    <n v="439.53"/>
    <n v="6"/>
    <n v="0.3"/>
    <n v="169.9"/>
    <n v="0.38654926853684624"/>
  </r>
  <r>
    <s v="ORD-10315"/>
    <d v="2023-12-24T00:00:00"/>
    <d v="2023-12-28T00:00:00"/>
    <s v="C-1852"/>
    <s v="Carol Martinez"/>
    <x v="1"/>
    <x v="1"/>
    <s v="New York"/>
    <x v="0"/>
    <x v="2"/>
    <s v="Brother Printer"/>
    <n v="687.46"/>
    <n v="3"/>
    <n v="0.2"/>
    <n v="174.26"/>
    <n v="0.2534838390597271"/>
  </r>
  <r>
    <s v="ORD-10316"/>
    <d v="2023-10-14T00:00:00"/>
    <d v="2023-10-15T00:00:00"/>
    <s v="C-1618"/>
    <s v="Grace Martinez"/>
    <x v="2"/>
    <x v="0"/>
    <s v="Washington"/>
    <x v="1"/>
    <x v="1"/>
    <s v="Coffee Maker"/>
    <n v="156.4"/>
    <n v="2"/>
    <n v="0.15"/>
    <n v="67.25"/>
    <n v="0.42998721227621484"/>
  </r>
  <r>
    <s v="ORD-10317"/>
    <d v="2023-09-21T00:00:00"/>
    <d v="2023-09-27T00:00:00"/>
    <s v="C-9364"/>
    <s v="Iris Brown"/>
    <x v="0"/>
    <x v="2"/>
    <s v="Texas"/>
    <x v="1"/>
    <x v="1"/>
    <s v="Microwave"/>
    <n v="80.430000000000007"/>
    <n v="1"/>
    <n v="0.1"/>
    <n v="32.28"/>
    <n v="0.40134278254382694"/>
  </r>
  <r>
    <s v="ORD-10318"/>
    <d v="2023-09-22T00:00:00"/>
    <d v="2023-09-24T00:00:00"/>
    <s v="C-7474"/>
    <s v="Grace Brown"/>
    <x v="0"/>
    <x v="0"/>
    <s v="Oregon"/>
    <x v="1"/>
    <x v="8"/>
    <s v="Heavy Duty Binder"/>
    <n v="24.93"/>
    <n v="2"/>
    <n v="0.2"/>
    <n v="9.02"/>
    <n v="0.36181307661452067"/>
  </r>
  <r>
    <s v="ORD-10319"/>
    <d v="2023-06-15T00:00:00"/>
    <d v="2023-06-16T00:00:00"/>
    <s v="C-7618"/>
    <s v="Jack Smith"/>
    <x v="1"/>
    <x v="0"/>
    <s v="California"/>
    <x v="2"/>
    <x v="7"/>
    <s v="3-Shelf Bookcase"/>
    <n v="542.54"/>
    <n v="5"/>
    <n v="0.05"/>
    <n v="182.46"/>
    <n v="0.3363070004055001"/>
  </r>
  <r>
    <s v="ORD-10320"/>
    <d v="2022-09-25T00:00:00"/>
    <d v="2022-09-27T00:00:00"/>
    <s v="C-5098"/>
    <s v="Henry Martinez"/>
    <x v="1"/>
    <x v="3"/>
    <s v="Georgia"/>
    <x v="0"/>
    <x v="6"/>
    <s v="MacBook Pro"/>
    <n v="1853.33"/>
    <n v="2"/>
    <n v="0.1"/>
    <n v="428.07"/>
    <n v="0.23097343700258455"/>
  </r>
  <r>
    <s v="ORD-10321"/>
    <d v="2023-07-31T00:00:00"/>
    <d v="2023-08-04T00:00:00"/>
    <s v="C-4610"/>
    <s v="David Garcia"/>
    <x v="2"/>
    <x v="1"/>
    <s v="Virginia"/>
    <x v="1"/>
    <x v="1"/>
    <s v="Mini Fridge"/>
    <n v="91.22"/>
    <n v="1"/>
    <n v="0.1"/>
    <n v="39.51"/>
    <n v="0.43312869984652486"/>
  </r>
  <r>
    <s v="ORD-10322"/>
    <d v="2023-02-27T00:00:00"/>
    <d v="2023-03-02T00:00:00"/>
    <s v="C-6792"/>
    <s v="David Jones"/>
    <x v="0"/>
    <x v="0"/>
    <s v="Oregon"/>
    <x v="2"/>
    <x v="11"/>
    <s v="Executive Chair"/>
    <n v="954.96"/>
    <n v="6"/>
    <n v="0"/>
    <n v="315.95999999999998"/>
    <n v="0.3308620256345815"/>
  </r>
  <r>
    <s v="ORD-10323"/>
    <d v="2022-07-07T00:00:00"/>
    <d v="2022-07-13T00:00:00"/>
    <s v="C-5091"/>
    <s v="Jack Garcia"/>
    <x v="1"/>
    <x v="1"/>
    <s v="Florida"/>
    <x v="0"/>
    <x v="0"/>
    <s v="Keyboard"/>
    <n v="165.3"/>
    <n v="4"/>
    <n v="0.05"/>
    <n v="64.91"/>
    <n v="0.39267997580157282"/>
  </r>
  <r>
    <s v="ORD-10324"/>
    <d v="2022-06-09T00:00:00"/>
    <d v="2022-06-16T00:00:00"/>
    <s v="C-7081"/>
    <s v="Jack Garcia"/>
    <x v="0"/>
    <x v="0"/>
    <s v="California"/>
    <x v="1"/>
    <x v="1"/>
    <s v="Mini Fridge"/>
    <n v="113.42"/>
    <n v="1"/>
    <n v="0"/>
    <n v="26.99"/>
    <n v="0.23796508552283546"/>
  </r>
  <r>
    <s v="ORD-10325"/>
    <d v="2023-05-20T00:00:00"/>
    <d v="2023-05-25T00:00:00"/>
    <s v="C-7933"/>
    <s v="Henry Smith"/>
    <x v="0"/>
    <x v="2"/>
    <s v="Michigan"/>
    <x v="1"/>
    <x v="10"/>
    <s v="Storage Bin"/>
    <n v="261.27999999999997"/>
    <n v="4"/>
    <n v="0"/>
    <n v="114.04"/>
    <n v="0.43646662584200863"/>
  </r>
  <r>
    <s v="ORD-10326"/>
    <d v="2023-05-30T00:00:00"/>
    <d v="2023-06-02T00:00:00"/>
    <s v="C-2650"/>
    <s v="Frank Garcia"/>
    <x v="2"/>
    <x v="3"/>
    <s v="North Carolina"/>
    <x v="0"/>
    <x v="2"/>
    <s v="Xerox MX"/>
    <n v="260.01"/>
    <n v="1"/>
    <n v="0.05"/>
    <n v="92.34"/>
    <n v="0.35514018691588789"/>
  </r>
  <r>
    <s v="ORD-10327"/>
    <d v="2023-09-20T00:00:00"/>
    <d v="2023-09-27T00:00:00"/>
    <s v="C-9171"/>
    <s v="Grace Brown"/>
    <x v="1"/>
    <x v="2"/>
    <s v="Illinois"/>
    <x v="2"/>
    <x v="4"/>
    <s v="Conference Table"/>
    <n v="2178.2399999999998"/>
    <n v="8"/>
    <n v="0.15"/>
    <n v="780.94"/>
    <n v="0.35851880417217574"/>
  </r>
  <r>
    <s v="ORD-10328"/>
    <d v="2023-03-06T00:00:00"/>
    <d v="2023-03-12T00:00:00"/>
    <s v="C-5422"/>
    <s v="David Martinez"/>
    <x v="2"/>
    <x v="2"/>
    <s v="Ohio"/>
    <x v="2"/>
    <x v="9"/>
    <s v="Lamp Set"/>
    <n v="777.19"/>
    <n v="10"/>
    <n v="0.05"/>
    <n v="191.54"/>
    <n v="0.24645196155380278"/>
  </r>
  <r>
    <s v="ORD-10329"/>
    <d v="2023-01-26T00:00:00"/>
    <d v="2023-01-28T00:00:00"/>
    <s v="C-5915"/>
    <s v="Eve Smith"/>
    <x v="2"/>
    <x v="1"/>
    <s v="Pennsylvania"/>
    <x v="0"/>
    <x v="0"/>
    <s v="Wireless Mouse"/>
    <n v="216.72"/>
    <n v="8"/>
    <n v="0.15"/>
    <n v="54.97"/>
    <n v="0.2536452565522333"/>
  </r>
  <r>
    <s v="ORD-10330"/>
    <d v="2023-02-12T00:00:00"/>
    <d v="2023-02-13T00:00:00"/>
    <s v="C-6903"/>
    <s v="Iris Jones"/>
    <x v="0"/>
    <x v="1"/>
    <s v="New York"/>
    <x v="2"/>
    <x v="9"/>
    <s v="Whiteboard"/>
    <n v="161.02000000000001"/>
    <n v="2"/>
    <n v="0.15"/>
    <n v="62"/>
    <n v="0.38504533598310764"/>
  </r>
  <r>
    <s v="ORD-10331"/>
    <d v="2022-12-19T00:00:00"/>
    <d v="2022-12-20T00:00:00"/>
    <s v="C-5663"/>
    <s v="Frank Garcia"/>
    <x v="2"/>
    <x v="3"/>
    <s v="Georgia"/>
    <x v="1"/>
    <x v="5"/>
    <s v="Copy Paper"/>
    <n v="205.6"/>
    <n v="10"/>
    <n v="0"/>
    <n v="42.18"/>
    <n v="0.2051556420233463"/>
  </r>
  <r>
    <s v="ORD-10332"/>
    <d v="2023-11-21T00:00:00"/>
    <d v="2023-11-26T00:00:00"/>
    <s v="C-7631"/>
    <s v="Bob Johnson"/>
    <x v="0"/>
    <x v="3"/>
    <s v="Alabama"/>
    <x v="2"/>
    <x v="7"/>
    <s v="3-Shelf Bookcase"/>
    <n v="379.67"/>
    <n v="3"/>
    <n v="0.15"/>
    <n v="130.81"/>
    <n v="0.34453604445966235"/>
  </r>
  <r>
    <s v="ORD-10333"/>
    <d v="2022-06-15T00:00:00"/>
    <d v="2022-06-18T00:00:00"/>
    <s v="C-8289"/>
    <s v="Frank Davis"/>
    <x v="2"/>
    <x v="1"/>
    <s v="Virginia"/>
    <x v="1"/>
    <x v="10"/>
    <s v="Filing Cabinet"/>
    <n v="246.92"/>
    <n v="5"/>
    <n v="0.2"/>
    <n v="94.37"/>
    <n v="0.38218856309735949"/>
  </r>
  <r>
    <s v="ORD-10334"/>
    <d v="2023-02-28T00:00:00"/>
    <d v="2023-03-02T00:00:00"/>
    <s v="C-7505"/>
    <s v="Bob Johnson"/>
    <x v="0"/>
    <x v="1"/>
    <s v="New York"/>
    <x v="1"/>
    <x v="5"/>
    <s v="Copy Paper"/>
    <n v="114.6"/>
    <n v="5"/>
    <n v="0"/>
    <n v="45.54"/>
    <n v="0.39738219895287957"/>
  </r>
  <r>
    <s v="ORD-10335"/>
    <d v="2022-03-07T00:00:00"/>
    <d v="2022-03-11T00:00:00"/>
    <s v="C-7387"/>
    <s v="Eve Brown"/>
    <x v="2"/>
    <x v="0"/>
    <s v="California"/>
    <x v="1"/>
    <x v="8"/>
    <s v="Heavy Duty Binder"/>
    <n v="67.7"/>
    <n v="5"/>
    <n v="0"/>
    <n v="19.38"/>
    <n v="0.28626292466765135"/>
  </r>
  <r>
    <s v="ORD-10336"/>
    <d v="2022-09-11T00:00:00"/>
    <d v="2022-09-17T00:00:00"/>
    <s v="C-6328"/>
    <s v="Henry Davis"/>
    <x v="1"/>
    <x v="2"/>
    <s v="Michigan"/>
    <x v="0"/>
    <x v="0"/>
    <s v="Keyboard"/>
    <n v="77.010000000000005"/>
    <n v="3"/>
    <n v="0.15"/>
    <n v="18.09"/>
    <n v="0.23490455784962991"/>
  </r>
  <r>
    <s v="ORD-10337"/>
    <d v="2023-07-08T00:00:00"/>
    <d v="2023-07-11T00:00:00"/>
    <s v="C-9745"/>
    <s v="Eve Garcia"/>
    <x v="1"/>
    <x v="3"/>
    <s v="North Carolina"/>
    <x v="1"/>
    <x v="5"/>
    <s v="Copy Paper"/>
    <n v="152"/>
    <n v="10"/>
    <n v="0.2"/>
    <n v="48.51"/>
    <n v="0.31914473684210526"/>
  </r>
  <r>
    <s v="ORD-10338"/>
    <d v="2023-05-09T00:00:00"/>
    <d v="2023-05-14T00:00:00"/>
    <s v="C-3233"/>
    <s v="Frank Jones"/>
    <x v="2"/>
    <x v="1"/>
    <s v="New York"/>
    <x v="2"/>
    <x v="7"/>
    <s v="3-Shelf Bookcase"/>
    <n v="552.04999999999995"/>
    <n v="5"/>
    <n v="0"/>
    <n v="248.41"/>
    <n v="0.449977357123449"/>
  </r>
  <r>
    <s v="ORD-10339"/>
    <d v="2023-04-26T00:00:00"/>
    <d v="2023-05-01T00:00:00"/>
    <s v="C-4089"/>
    <s v="Grace Martinez"/>
    <x v="2"/>
    <x v="0"/>
    <s v="Nevada"/>
    <x v="2"/>
    <x v="11"/>
    <s v="Executive Chair"/>
    <n v="1006.8"/>
    <n v="5"/>
    <n v="0"/>
    <n v="315.07"/>
    <n v="0.31294199443782283"/>
  </r>
  <r>
    <s v="ORD-10340"/>
    <d v="2023-02-09T00:00:00"/>
    <d v="2023-02-11T00:00:00"/>
    <s v="C-9715"/>
    <s v="Eve Martinez"/>
    <x v="2"/>
    <x v="1"/>
    <s v="Florida"/>
    <x v="0"/>
    <x v="6"/>
    <s v="Dell Laptop"/>
    <n v="6058.65"/>
    <n v="7"/>
    <n v="0.1"/>
    <n v="2295.1999999999998"/>
    <n v="0.37883026746882553"/>
  </r>
  <r>
    <s v="ORD-10341"/>
    <d v="2022-07-12T00:00:00"/>
    <d v="2022-07-19T00:00:00"/>
    <s v="C-9060"/>
    <s v="David Garcia"/>
    <x v="0"/>
    <x v="0"/>
    <s v="Washington"/>
    <x v="2"/>
    <x v="11"/>
    <s v="Folding Chair"/>
    <n v="1461.89"/>
    <n v="8"/>
    <n v="0.1"/>
    <n v="401.85"/>
    <n v="0.27488388319230583"/>
  </r>
  <r>
    <s v="ORD-10342"/>
    <d v="2022-01-20T00:00:00"/>
    <d v="2022-01-22T00:00:00"/>
    <s v="C-3468"/>
    <s v="Alice Davis"/>
    <x v="0"/>
    <x v="0"/>
    <s v="California"/>
    <x v="0"/>
    <x v="6"/>
    <s v="MacBook Pro"/>
    <n v="2988.18"/>
    <n v="3"/>
    <n v="0"/>
    <n v="1170.76"/>
    <n v="0.39179701356678648"/>
  </r>
  <r>
    <s v="ORD-10343"/>
    <d v="2022-08-11T00:00:00"/>
    <d v="2022-08-14T00:00:00"/>
    <s v="C-7429"/>
    <s v="Bob Davis"/>
    <x v="2"/>
    <x v="3"/>
    <s v="Tennessee"/>
    <x v="2"/>
    <x v="9"/>
    <s v="Whiteboard"/>
    <n v="89.88"/>
    <n v="1"/>
    <n v="0"/>
    <n v="39.19"/>
    <n v="0.43602581219403647"/>
  </r>
  <r>
    <s v="ORD-10344"/>
    <d v="2022-07-05T00:00:00"/>
    <d v="2022-07-07T00:00:00"/>
    <s v="C-2539"/>
    <s v="Iris Brown"/>
    <x v="0"/>
    <x v="2"/>
    <s v="Michigan"/>
    <x v="0"/>
    <x v="0"/>
    <s v="Wireless Mouse"/>
    <n v="269.12"/>
    <n v="8"/>
    <n v="0"/>
    <n v="107.7"/>
    <n v="0.40019322235434007"/>
  </r>
  <r>
    <s v="ORD-10345"/>
    <d v="2023-04-30T00:00:00"/>
    <d v="2023-05-04T00:00:00"/>
    <s v="C-5895"/>
    <s v="David Garcia"/>
    <x v="0"/>
    <x v="2"/>
    <s v="Ohio"/>
    <x v="1"/>
    <x v="8"/>
    <s v="Ring Binder"/>
    <n v="105.38"/>
    <n v="9"/>
    <n v="0.1"/>
    <n v="34.74"/>
    <n v="0.32966407287910421"/>
  </r>
  <r>
    <s v="ORD-10346"/>
    <d v="2022-02-23T00:00:00"/>
    <d v="2022-03-02T00:00:00"/>
    <s v="C-7484"/>
    <s v="David Smith"/>
    <x v="0"/>
    <x v="1"/>
    <s v="New York"/>
    <x v="1"/>
    <x v="1"/>
    <s v="Microwave"/>
    <n v="79.11"/>
    <n v="1"/>
    <n v="0.1"/>
    <n v="24.04"/>
    <n v="0.30388067248135509"/>
  </r>
  <r>
    <s v="ORD-10347"/>
    <d v="2022-02-13T00:00:00"/>
    <d v="2022-02-18T00:00:00"/>
    <s v="C-1983"/>
    <s v="Alice Garcia"/>
    <x v="2"/>
    <x v="3"/>
    <s v="North Carolina"/>
    <x v="0"/>
    <x v="0"/>
    <s v="USB Hub"/>
    <n v="212.09"/>
    <n v="8"/>
    <n v="0.15"/>
    <n v="46.08"/>
    <n v="0.21726625489179122"/>
  </r>
  <r>
    <s v="ORD-10348"/>
    <d v="2023-10-23T00:00:00"/>
    <d v="2023-10-25T00:00:00"/>
    <s v="C-1349"/>
    <s v="Grace Garcia"/>
    <x v="2"/>
    <x v="0"/>
    <s v="Washington"/>
    <x v="0"/>
    <x v="6"/>
    <s v="HP Notebook"/>
    <n v="4328.5600000000004"/>
    <n v="6"/>
    <n v="0.3"/>
    <n v="1154.44"/>
    <n v="0.26670301439739774"/>
  </r>
  <r>
    <s v="ORD-10349"/>
    <d v="2022-05-18T00:00:00"/>
    <d v="2022-05-21T00:00:00"/>
    <s v="C-6303"/>
    <s v="Henry Jones"/>
    <x v="1"/>
    <x v="0"/>
    <s v="Nevada"/>
    <x v="2"/>
    <x v="7"/>
    <s v="Corner Bookcase"/>
    <n v="898"/>
    <n v="8"/>
    <n v="0"/>
    <n v="282.06"/>
    <n v="0.31409799554565704"/>
  </r>
  <r>
    <s v="ORD-10350"/>
    <d v="2023-09-06T00:00:00"/>
    <d v="2023-09-13T00:00:00"/>
    <s v="C-9289"/>
    <s v="Grace Williams"/>
    <x v="1"/>
    <x v="1"/>
    <s v="New York"/>
    <x v="0"/>
    <x v="2"/>
    <s v="Xerox MX"/>
    <n v="1224.96"/>
    <n v="5"/>
    <n v="0.3"/>
    <n v="551.01"/>
    <n v="0.44981876959247646"/>
  </r>
  <r>
    <s v="ORD-10351"/>
    <d v="2022-01-20T00:00:00"/>
    <d v="2022-01-25T00:00:00"/>
    <s v="C-9151"/>
    <s v="Iris Williams"/>
    <x v="2"/>
    <x v="2"/>
    <s v="Illinois"/>
    <x v="1"/>
    <x v="8"/>
    <s v="Ring Binder"/>
    <n v="125"/>
    <n v="9"/>
    <n v="0.05"/>
    <n v="39.869999999999997"/>
    <n v="0.31895999999999997"/>
  </r>
  <r>
    <s v="ORD-10352"/>
    <d v="2023-09-20T00:00:00"/>
    <d v="2023-09-23T00:00:00"/>
    <s v="C-3126"/>
    <s v="Carol Smith"/>
    <x v="1"/>
    <x v="2"/>
    <s v="Michigan"/>
    <x v="2"/>
    <x v="11"/>
    <s v="Mesh Chair"/>
    <n v="1857.33"/>
    <n v="9"/>
    <n v="0"/>
    <n v="447.99"/>
    <n v="0.24120107896819629"/>
  </r>
  <r>
    <s v="ORD-10353"/>
    <d v="2022-07-26T00:00:00"/>
    <d v="2022-07-27T00:00:00"/>
    <s v="C-4616"/>
    <s v="Jack Johnson"/>
    <x v="0"/>
    <x v="3"/>
    <s v="North Carolina"/>
    <x v="0"/>
    <x v="2"/>
    <s v="Brother Printer"/>
    <n v="2503.58"/>
    <n v="8"/>
    <n v="0.1"/>
    <n v="1095.8900000000001"/>
    <n v="0.43772917182594528"/>
  </r>
  <r>
    <s v="ORD-10354"/>
    <d v="2022-01-14T00:00:00"/>
    <d v="2022-01-16T00:00:00"/>
    <s v="C-1955"/>
    <s v="Jack Jones"/>
    <x v="2"/>
    <x v="3"/>
    <s v="Georgia"/>
    <x v="1"/>
    <x v="8"/>
    <s v="Presentation Binder"/>
    <n v="102.31"/>
    <n v="9"/>
    <n v="0.2"/>
    <n v="25.01"/>
    <n v="0.24445313263610596"/>
  </r>
  <r>
    <s v="ORD-10355"/>
    <d v="2023-06-26T00:00:00"/>
    <d v="2023-06-27T00:00:00"/>
    <s v="C-5075"/>
    <s v="Jack Williams"/>
    <x v="0"/>
    <x v="0"/>
    <s v="Oregon"/>
    <x v="0"/>
    <x v="3"/>
    <s v="iPhone 13"/>
    <n v="1862.61"/>
    <n v="4"/>
    <n v="0.05"/>
    <n v="748.25"/>
    <n v="0.40172124062471481"/>
  </r>
  <r>
    <s v="ORD-10356"/>
    <d v="2023-07-26T00:00:00"/>
    <d v="2023-08-01T00:00:00"/>
    <s v="C-3733"/>
    <s v="Carol Martinez"/>
    <x v="1"/>
    <x v="3"/>
    <s v="Georgia"/>
    <x v="1"/>
    <x v="10"/>
    <s v="Filing Cabinet"/>
    <n v="410.5"/>
    <n v="8"/>
    <n v="0.2"/>
    <n v="94.13"/>
    <n v="0.22930572472594396"/>
  </r>
  <r>
    <s v="ORD-10357"/>
    <d v="2023-06-01T00:00:00"/>
    <d v="2023-06-04T00:00:00"/>
    <s v="C-6299"/>
    <s v="Jack Brown"/>
    <x v="2"/>
    <x v="1"/>
    <s v="Florida"/>
    <x v="2"/>
    <x v="7"/>
    <s v="3-Shelf Bookcase"/>
    <n v="802.31"/>
    <n v="7"/>
    <n v="0.2"/>
    <n v="195.33"/>
    <n v="0.24345951066296073"/>
  </r>
  <r>
    <s v="ORD-10358"/>
    <d v="2023-07-31T00:00:00"/>
    <d v="2023-08-05T00:00:00"/>
    <s v="C-1567"/>
    <s v="Eve Smith"/>
    <x v="1"/>
    <x v="1"/>
    <s v="Florida"/>
    <x v="1"/>
    <x v="10"/>
    <s v="Storage Bin"/>
    <n v="370.11"/>
    <n v="8"/>
    <n v="0.2"/>
    <n v="166.53"/>
    <n v="0.44994731296101159"/>
  </r>
  <r>
    <s v="ORD-10359"/>
    <d v="2023-06-15T00:00:00"/>
    <d v="2023-06-17T00:00:00"/>
    <s v="C-9376"/>
    <s v="Iris Williams"/>
    <x v="2"/>
    <x v="2"/>
    <s v="Texas"/>
    <x v="0"/>
    <x v="0"/>
    <s v="Wireless Mouse"/>
    <n v="37.71"/>
    <n v="1"/>
    <n v="0.1"/>
    <n v="8.3000000000000007"/>
    <n v="0.22010076902678335"/>
  </r>
  <r>
    <s v="ORD-10360"/>
    <d v="2022-04-07T00:00:00"/>
    <d v="2022-04-08T00:00:00"/>
    <s v="C-2505"/>
    <s v="Jack Martinez"/>
    <x v="0"/>
    <x v="3"/>
    <s v="Tennessee"/>
    <x v="0"/>
    <x v="6"/>
    <s v="MacBook Pro"/>
    <n v="7362.63"/>
    <n v="10"/>
    <n v="0.1"/>
    <n v="1820.27"/>
    <n v="0.24723094872348603"/>
  </r>
  <r>
    <s v="ORD-10361"/>
    <d v="2023-08-06T00:00:00"/>
    <d v="2023-08-08T00:00:00"/>
    <s v="C-5921"/>
    <s v="Alice Martinez"/>
    <x v="2"/>
    <x v="0"/>
    <s v="Oregon"/>
    <x v="0"/>
    <x v="2"/>
    <s v="Brother Printer"/>
    <n v="3900.1"/>
    <n v="10"/>
    <n v="0"/>
    <n v="1174.68"/>
    <n v="0.30119227712109947"/>
  </r>
  <r>
    <s v="ORD-10362"/>
    <d v="2022-03-22T00:00:00"/>
    <d v="2022-03-29T00:00:00"/>
    <s v="C-7266"/>
    <s v="Alice Jones"/>
    <x v="2"/>
    <x v="0"/>
    <s v="Oregon"/>
    <x v="2"/>
    <x v="9"/>
    <s v="Lamp Set"/>
    <n v="427.12"/>
    <n v="4"/>
    <n v="0"/>
    <n v="124.52"/>
    <n v="0.29153399513017419"/>
  </r>
  <r>
    <s v="ORD-10363"/>
    <d v="2023-06-21T00:00:00"/>
    <d v="2023-06-22T00:00:00"/>
    <s v="C-9269"/>
    <s v="Bob Brown"/>
    <x v="2"/>
    <x v="2"/>
    <s v="Illinois"/>
    <x v="1"/>
    <x v="5"/>
    <s v="A4 Ream"/>
    <n v="16.61"/>
    <n v="1"/>
    <n v="0.2"/>
    <n v="3.44"/>
    <n v="0.20710415412402167"/>
  </r>
  <r>
    <s v="ORD-10364"/>
    <d v="2023-03-19T00:00:00"/>
    <d v="2023-03-22T00:00:00"/>
    <s v="C-7529"/>
    <s v="Iris Martinez"/>
    <x v="0"/>
    <x v="3"/>
    <s v="North Carolina"/>
    <x v="2"/>
    <x v="11"/>
    <s v="Executive Chair"/>
    <n v="1706.96"/>
    <n v="10"/>
    <n v="0.2"/>
    <n v="656.09"/>
    <n v="0.38436167221258849"/>
  </r>
  <r>
    <s v="ORD-10365"/>
    <d v="2023-12-16T00:00:00"/>
    <d v="2023-12-18T00:00:00"/>
    <s v="C-5362"/>
    <s v="Grace Garcia"/>
    <x v="1"/>
    <x v="1"/>
    <s v="Florida"/>
    <x v="0"/>
    <x v="2"/>
    <s v="Xerox MX"/>
    <n v="2852.28"/>
    <n v="10"/>
    <n v="0.05"/>
    <n v="1110.74"/>
    <n v="0.38942179589661602"/>
  </r>
  <r>
    <s v="ORD-10366"/>
    <d v="2023-12-03T00:00:00"/>
    <d v="2023-12-08T00:00:00"/>
    <s v="C-1396"/>
    <s v="Eve Williams"/>
    <x v="1"/>
    <x v="0"/>
    <s v="California"/>
    <x v="2"/>
    <x v="9"/>
    <s v="Storage Cabinet"/>
    <n v="429.47"/>
    <n v="6"/>
    <n v="0.15"/>
    <n v="129.5"/>
    <n v="0.30153444943767899"/>
  </r>
  <r>
    <s v="ORD-10367"/>
    <d v="2022-12-25T00:00:00"/>
    <d v="2022-12-30T00:00:00"/>
    <s v="C-1893"/>
    <s v="David Williams"/>
    <x v="2"/>
    <x v="3"/>
    <s v="North Carolina"/>
    <x v="0"/>
    <x v="0"/>
    <s v="USB Hub"/>
    <n v="193.26"/>
    <n v="6"/>
    <n v="0"/>
    <n v="81.540000000000006"/>
    <n v="0.42191865880161444"/>
  </r>
  <r>
    <s v="ORD-10368"/>
    <d v="2022-10-22T00:00:00"/>
    <d v="2022-10-23T00:00:00"/>
    <s v="C-9573"/>
    <s v="Eve Davis"/>
    <x v="2"/>
    <x v="2"/>
    <s v="Texas"/>
    <x v="2"/>
    <x v="9"/>
    <s v="Lamp Set"/>
    <n v="484.27"/>
    <n v="6"/>
    <n v="0.05"/>
    <n v="193.25"/>
    <n v="0.39905424659797223"/>
  </r>
  <r>
    <s v="ORD-10369"/>
    <d v="2023-09-30T00:00:00"/>
    <d v="2023-10-06T00:00:00"/>
    <s v="C-5444"/>
    <s v="Alice Davis"/>
    <x v="2"/>
    <x v="1"/>
    <s v="New York"/>
    <x v="1"/>
    <x v="8"/>
    <s v="Presentation Binder"/>
    <n v="29.98"/>
    <n v="3"/>
    <n v="0.05"/>
    <n v="7.58"/>
    <n v="0.25283522348232157"/>
  </r>
  <r>
    <s v="ORD-10370"/>
    <d v="2023-11-02T00:00:00"/>
    <d v="2023-11-03T00:00:00"/>
    <s v="C-7237"/>
    <s v="Iris Johnson"/>
    <x v="1"/>
    <x v="0"/>
    <s v="Nevada"/>
    <x v="2"/>
    <x v="7"/>
    <s v="5-Shelf Bookcase"/>
    <n v="94.23"/>
    <n v="1"/>
    <n v="0.2"/>
    <n v="36.96"/>
    <n v="0.39223177332059855"/>
  </r>
  <r>
    <s v="ORD-10371"/>
    <d v="2022-11-20T00:00:00"/>
    <d v="2022-11-24T00:00:00"/>
    <s v="C-7445"/>
    <s v="Carol Smith"/>
    <x v="0"/>
    <x v="0"/>
    <s v="Washington"/>
    <x v="1"/>
    <x v="1"/>
    <s v="Mini Fridge"/>
    <n v="74.2"/>
    <n v="1"/>
    <n v="0.1"/>
    <n v="27.2"/>
    <n v="0.36657681940700804"/>
  </r>
  <r>
    <s v="ORD-10372"/>
    <d v="2022-12-22T00:00:00"/>
    <d v="2022-12-28T00:00:00"/>
    <s v="C-1482"/>
    <s v="Iris Jones"/>
    <x v="1"/>
    <x v="2"/>
    <s v="Ohio"/>
    <x v="2"/>
    <x v="4"/>
    <s v="Side Table"/>
    <n v="1367.28"/>
    <n v="5"/>
    <n v="0.1"/>
    <n v="314.93"/>
    <n v="0.2303332163126792"/>
  </r>
  <r>
    <s v="ORD-10373"/>
    <d v="2022-08-19T00:00:00"/>
    <d v="2022-08-21T00:00:00"/>
    <s v="C-3502"/>
    <s v="Grace Jones"/>
    <x v="1"/>
    <x v="2"/>
    <s v="Michigan"/>
    <x v="0"/>
    <x v="3"/>
    <s v="Pixel 6"/>
    <n v="3244.87"/>
    <n v="7"/>
    <n v="0.05"/>
    <n v="1121.6400000000001"/>
    <n v="0.34566561988615879"/>
  </r>
  <r>
    <s v="ORD-10374"/>
    <d v="2023-09-12T00:00:00"/>
    <d v="2023-09-15T00:00:00"/>
    <s v="C-6062"/>
    <s v="Iris Williams"/>
    <x v="0"/>
    <x v="3"/>
    <s v="North Carolina"/>
    <x v="1"/>
    <x v="5"/>
    <s v="Copy Paper"/>
    <n v="178.18"/>
    <n v="9"/>
    <n v="0.05"/>
    <n v="41.76"/>
    <n v="0.23436973846671902"/>
  </r>
  <r>
    <s v="ORD-10375"/>
    <d v="2023-03-17T00:00:00"/>
    <d v="2023-03-24T00:00:00"/>
    <s v="C-6221"/>
    <s v="Grace Martinez"/>
    <x v="2"/>
    <x v="1"/>
    <s v="Pennsylvania"/>
    <x v="0"/>
    <x v="3"/>
    <s v="iPhone 13"/>
    <n v="3315"/>
    <n v="6"/>
    <n v="0"/>
    <n v="889.18"/>
    <n v="0.26822926093514327"/>
  </r>
  <r>
    <s v="ORD-10376"/>
    <d v="2022-11-07T00:00:00"/>
    <d v="2022-11-11T00:00:00"/>
    <s v="C-4783"/>
    <s v="Jack Brown"/>
    <x v="0"/>
    <x v="2"/>
    <s v="Illinois"/>
    <x v="0"/>
    <x v="0"/>
    <s v="USB Hub"/>
    <n v="37.58"/>
    <n v="1"/>
    <n v="0.1"/>
    <n v="11.22"/>
    <n v="0.29856306546035127"/>
  </r>
  <r>
    <s v="ORD-10377"/>
    <d v="2022-08-25T00:00:00"/>
    <d v="2022-08-31T00:00:00"/>
    <s v="C-7126"/>
    <s v="Carol Martinez"/>
    <x v="0"/>
    <x v="0"/>
    <s v="Oregon"/>
    <x v="1"/>
    <x v="1"/>
    <s v="Coffee Maker"/>
    <n v="736.6"/>
    <n v="9"/>
    <n v="0.3"/>
    <n v="200.35"/>
    <n v="0.2719929405376052"/>
  </r>
  <r>
    <s v="ORD-10378"/>
    <d v="2023-05-19T00:00:00"/>
    <d v="2023-05-23T00:00:00"/>
    <s v="C-4323"/>
    <s v="David Johnson"/>
    <x v="0"/>
    <x v="1"/>
    <s v="Pennsylvania"/>
    <x v="0"/>
    <x v="3"/>
    <s v="Samsung Galaxy S22"/>
    <n v="455.92"/>
    <n v="1"/>
    <n v="0.2"/>
    <n v="179.8"/>
    <n v="0.39436743288296194"/>
  </r>
  <r>
    <s v="ORD-10379"/>
    <d v="2022-07-01T00:00:00"/>
    <d v="2022-07-05T00:00:00"/>
    <s v="C-7457"/>
    <s v="Jack Smith"/>
    <x v="2"/>
    <x v="3"/>
    <s v="Tennessee"/>
    <x v="0"/>
    <x v="2"/>
    <s v="Xerox MX"/>
    <n v="287.63"/>
    <n v="1"/>
    <n v="0.2"/>
    <n v="77.650000000000006"/>
    <n v="0.26996488544310399"/>
  </r>
  <r>
    <s v="ORD-10380"/>
    <d v="2023-06-18T00:00:00"/>
    <d v="2023-06-19T00:00:00"/>
    <s v="C-8201"/>
    <s v="Grace Jones"/>
    <x v="0"/>
    <x v="3"/>
    <s v="Alabama"/>
    <x v="0"/>
    <x v="2"/>
    <s v="Brother Printer"/>
    <n v="352.31"/>
    <n v="1"/>
    <n v="0"/>
    <n v="141.82"/>
    <n v="0.40254321478243588"/>
  </r>
  <r>
    <s v="ORD-10381"/>
    <d v="2022-10-20T00:00:00"/>
    <d v="2022-10-24T00:00:00"/>
    <s v="C-8400"/>
    <s v="Bob Johnson"/>
    <x v="2"/>
    <x v="1"/>
    <s v="Florida"/>
    <x v="1"/>
    <x v="8"/>
    <s v="Ring Binder"/>
    <n v="95"/>
    <n v="9"/>
    <n v="0.3"/>
    <n v="23.04"/>
    <n v="0.24252631578947367"/>
  </r>
  <r>
    <s v="ORD-10382"/>
    <d v="2022-07-04T00:00:00"/>
    <d v="2022-07-11T00:00:00"/>
    <s v="C-2477"/>
    <s v="Eve Garcia"/>
    <x v="2"/>
    <x v="1"/>
    <s v="Florida"/>
    <x v="2"/>
    <x v="9"/>
    <s v="Lamp Set"/>
    <n v="270.38"/>
    <n v="3"/>
    <n v="0.05"/>
    <n v="62.02"/>
    <n v="0.22938087136622534"/>
  </r>
  <r>
    <s v="ORD-10383"/>
    <d v="2023-12-10T00:00:00"/>
    <d v="2023-12-16T00:00:00"/>
    <s v="C-9383"/>
    <s v="Jack Williams"/>
    <x v="0"/>
    <x v="1"/>
    <s v="New York"/>
    <x v="0"/>
    <x v="2"/>
    <s v="Brother Printer"/>
    <n v="1364.54"/>
    <n v="6"/>
    <n v="0.2"/>
    <n v="366.08"/>
    <n v="0.26828088586629928"/>
  </r>
  <r>
    <s v="ORD-10384"/>
    <d v="2023-01-23T00:00:00"/>
    <d v="2023-01-28T00:00:00"/>
    <s v="C-6071"/>
    <s v="Henry Jones"/>
    <x v="0"/>
    <x v="3"/>
    <s v="Georgia"/>
    <x v="2"/>
    <x v="4"/>
    <s v="Standing Desk"/>
    <n v="697.86"/>
    <n v="3"/>
    <n v="0"/>
    <n v="240.83"/>
    <n v="0.34509787063307829"/>
  </r>
  <r>
    <s v="ORD-10385"/>
    <d v="2023-10-04T00:00:00"/>
    <d v="2023-10-06T00:00:00"/>
    <s v="C-1094"/>
    <s v="Jack Davis"/>
    <x v="0"/>
    <x v="0"/>
    <s v="Washington"/>
    <x v="0"/>
    <x v="6"/>
    <s v="Dell Laptop"/>
    <n v="5111.8999999999996"/>
    <n v="8"/>
    <n v="0.3"/>
    <n v="1605.77"/>
    <n v="0.31412390696218628"/>
  </r>
  <r>
    <s v="ORD-10386"/>
    <d v="2022-09-01T00:00:00"/>
    <d v="2022-09-03T00:00:00"/>
    <s v="C-4401"/>
    <s v="Alice Williams"/>
    <x v="2"/>
    <x v="3"/>
    <s v="Alabama"/>
    <x v="2"/>
    <x v="11"/>
    <s v="Folding Chair"/>
    <n v="1381.77"/>
    <n v="10"/>
    <n v="0.1"/>
    <n v="407.7"/>
    <n v="0.29505634078030352"/>
  </r>
  <r>
    <s v="ORD-10387"/>
    <d v="2022-06-01T00:00:00"/>
    <d v="2022-06-02T00:00:00"/>
    <s v="C-3643"/>
    <s v="Eve Williams"/>
    <x v="0"/>
    <x v="2"/>
    <s v="Texas"/>
    <x v="0"/>
    <x v="6"/>
    <s v="MacBook Pro"/>
    <n v="1186"/>
    <n v="2"/>
    <n v="0.2"/>
    <n v="239.06"/>
    <n v="0.20156829679595278"/>
  </r>
  <r>
    <s v="ORD-10388"/>
    <d v="2023-04-12T00:00:00"/>
    <d v="2023-04-18T00:00:00"/>
    <s v="C-2063"/>
    <s v="Eve Davis"/>
    <x v="0"/>
    <x v="2"/>
    <s v="Texas"/>
    <x v="2"/>
    <x v="7"/>
    <s v="3-Shelf Bookcase"/>
    <n v="819.22"/>
    <n v="7"/>
    <n v="0.2"/>
    <n v="195.93"/>
    <n v="0.23916652425477894"/>
  </r>
  <r>
    <s v="ORD-10389"/>
    <d v="2022-05-18T00:00:00"/>
    <d v="2022-05-19T00:00:00"/>
    <s v="C-9666"/>
    <s v="Bob Davis"/>
    <x v="1"/>
    <x v="2"/>
    <s v="Ohio"/>
    <x v="2"/>
    <x v="4"/>
    <s v="Side Table"/>
    <n v="1125.44"/>
    <n v="4"/>
    <n v="0"/>
    <n v="345.69"/>
    <n v="0.30715986636337789"/>
  </r>
  <r>
    <s v="ORD-10390"/>
    <d v="2023-12-07T00:00:00"/>
    <d v="2023-12-12T00:00:00"/>
    <s v="C-9132"/>
    <s v="Iris Davis"/>
    <x v="1"/>
    <x v="2"/>
    <s v="Michigan"/>
    <x v="2"/>
    <x v="7"/>
    <s v="Corner Bookcase"/>
    <n v="1323.7"/>
    <n v="10"/>
    <n v="0.15"/>
    <n v="288.86"/>
    <n v="0.21822165143159328"/>
  </r>
  <r>
    <s v="ORD-10391"/>
    <d v="2023-05-20T00:00:00"/>
    <d v="2023-05-27T00:00:00"/>
    <s v="C-4396"/>
    <s v="Jack Martinez"/>
    <x v="1"/>
    <x v="1"/>
    <s v="Pennsylvania"/>
    <x v="2"/>
    <x v="4"/>
    <s v="Standing Desk"/>
    <n v="430.4"/>
    <n v="2"/>
    <n v="0"/>
    <n v="114.33"/>
    <n v="0.26563661710037173"/>
  </r>
  <r>
    <s v="ORD-10392"/>
    <d v="2023-02-28T00:00:00"/>
    <d v="2023-03-01T00:00:00"/>
    <s v="C-6042"/>
    <s v="Eve Garcia"/>
    <x v="1"/>
    <x v="2"/>
    <s v="Ohio"/>
    <x v="1"/>
    <x v="5"/>
    <s v="A4 Ream"/>
    <n v="75.2"/>
    <n v="4"/>
    <n v="0.1"/>
    <n v="18.98"/>
    <n v="0.25239361702127661"/>
  </r>
  <r>
    <s v="ORD-10393"/>
    <d v="2022-01-07T00:00:00"/>
    <d v="2022-01-08T00:00:00"/>
    <s v="C-8849"/>
    <s v="Henry Smith"/>
    <x v="2"/>
    <x v="2"/>
    <s v="Ohio"/>
    <x v="1"/>
    <x v="8"/>
    <s v="Heavy Duty Binder"/>
    <n v="40.729999999999997"/>
    <n v="4"/>
    <n v="0.15"/>
    <n v="8.94"/>
    <n v="0.21949423029707832"/>
  </r>
  <r>
    <s v="ORD-10394"/>
    <d v="2023-10-24T00:00:00"/>
    <d v="2023-10-26T00:00:00"/>
    <s v="C-5904"/>
    <s v="Jack Garcia"/>
    <x v="1"/>
    <x v="3"/>
    <s v="North Carolina"/>
    <x v="2"/>
    <x v="7"/>
    <s v="3-Shelf Bookcase"/>
    <n v="1064.7"/>
    <n v="7"/>
    <n v="0"/>
    <n v="256.83"/>
    <n v="0.24122287968441813"/>
  </r>
  <r>
    <s v="ORD-10395"/>
    <d v="2023-07-23T00:00:00"/>
    <d v="2023-07-28T00:00:00"/>
    <s v="C-6556"/>
    <s v="Grace Williams"/>
    <x v="1"/>
    <x v="0"/>
    <s v="Washington"/>
    <x v="1"/>
    <x v="10"/>
    <s v="Storage Bin"/>
    <n v="127.35"/>
    <n v="2"/>
    <n v="0.1"/>
    <n v="30.54"/>
    <n v="0.239811542991755"/>
  </r>
  <r>
    <s v="ORD-10396"/>
    <d v="2023-08-08T00:00:00"/>
    <d v="2023-08-13T00:00:00"/>
    <s v="C-9143"/>
    <s v="David Garcia"/>
    <x v="1"/>
    <x v="3"/>
    <s v="North Carolina"/>
    <x v="0"/>
    <x v="6"/>
    <s v="HP Notebook"/>
    <n v="5367.65"/>
    <n v="6"/>
    <n v="0.1"/>
    <n v="1860.07"/>
    <n v="0.34653339915978132"/>
  </r>
  <r>
    <s v="ORD-10397"/>
    <d v="2023-04-08T00:00:00"/>
    <d v="2023-04-15T00:00:00"/>
    <s v="C-8270"/>
    <s v="Iris Smith"/>
    <x v="1"/>
    <x v="2"/>
    <s v="Illinois"/>
    <x v="2"/>
    <x v="4"/>
    <s v="Standing Desk"/>
    <n v="1714.62"/>
    <n v="6"/>
    <n v="0.05"/>
    <n v="380.07"/>
    <n v="0.22166427546628409"/>
  </r>
  <r>
    <s v="ORD-10398"/>
    <d v="2023-05-10T00:00:00"/>
    <d v="2023-05-15T00:00:00"/>
    <s v="C-9456"/>
    <s v="Carol Brown"/>
    <x v="2"/>
    <x v="1"/>
    <s v="Pennsylvania"/>
    <x v="2"/>
    <x v="7"/>
    <s v="3-Shelf Bookcase"/>
    <n v="430.65"/>
    <n v="3"/>
    <n v="0"/>
    <n v="105.28"/>
    <n v="0.24446766515732035"/>
  </r>
  <r>
    <s v="ORD-10399"/>
    <d v="2022-02-07T00:00:00"/>
    <d v="2022-02-11T00:00:00"/>
    <s v="C-1755"/>
    <s v="Bob Jones"/>
    <x v="0"/>
    <x v="3"/>
    <s v="Georgia"/>
    <x v="2"/>
    <x v="11"/>
    <s v="Folding Chair"/>
    <n v="1900.77"/>
    <n v="10"/>
    <n v="0.15"/>
    <n v="633.49"/>
    <n v="0.33328072307538525"/>
  </r>
  <r>
    <s v="ORD-10400"/>
    <d v="2022-01-24T00:00:00"/>
    <d v="2022-01-29T00:00:00"/>
    <s v="C-5467"/>
    <s v="Carol Williams"/>
    <x v="2"/>
    <x v="2"/>
    <s v="Illinois"/>
    <x v="0"/>
    <x v="0"/>
    <s v="Wireless Mouse"/>
    <n v="133.44999999999999"/>
    <n v="5"/>
    <n v="0.3"/>
    <n v="37.659999999999997"/>
    <n v="0.28220307231172725"/>
  </r>
  <r>
    <s v="ORD-10401"/>
    <d v="2022-10-08T00:00:00"/>
    <d v="2022-10-09T00:00:00"/>
    <s v="C-3806"/>
    <s v="Bob Jones"/>
    <x v="0"/>
    <x v="0"/>
    <s v="California"/>
    <x v="1"/>
    <x v="10"/>
    <s v="Filing Cabinet"/>
    <n v="288.68"/>
    <n v="6"/>
    <n v="0.1"/>
    <n v="88.47"/>
    <n v="0.30646390466953027"/>
  </r>
  <r>
    <s v="ORD-10402"/>
    <d v="2023-09-20T00:00:00"/>
    <d v="2023-09-23T00:00:00"/>
    <s v="C-7421"/>
    <s v="Carol Davis"/>
    <x v="0"/>
    <x v="3"/>
    <s v="Georgia"/>
    <x v="0"/>
    <x v="2"/>
    <s v="Brother Printer"/>
    <n v="287.25"/>
    <n v="1"/>
    <n v="0"/>
    <n v="123.08"/>
    <n v="0.4284769364664926"/>
  </r>
  <r>
    <s v="ORD-10403"/>
    <d v="2023-09-24T00:00:00"/>
    <d v="2023-09-27T00:00:00"/>
    <s v="C-6085"/>
    <s v="Henry Davis"/>
    <x v="0"/>
    <x v="2"/>
    <s v="Ohio"/>
    <x v="1"/>
    <x v="8"/>
    <s v="Presentation Binder"/>
    <n v="76.37"/>
    <n v="10"/>
    <n v="0.3"/>
    <n v="32.51"/>
    <n v="0.42569071624983629"/>
  </r>
  <r>
    <s v="ORD-10404"/>
    <d v="2022-08-26T00:00:00"/>
    <d v="2022-08-28T00:00:00"/>
    <s v="C-1495"/>
    <s v="Bob Davis"/>
    <x v="2"/>
    <x v="1"/>
    <s v="Virginia"/>
    <x v="2"/>
    <x v="4"/>
    <s v="Side Table"/>
    <n v="1536.32"/>
    <n v="6"/>
    <n v="0.15"/>
    <n v="517.25"/>
    <n v="0.33668116017496358"/>
  </r>
  <r>
    <s v="ORD-10405"/>
    <d v="2022-04-26T00:00:00"/>
    <d v="2022-04-29T00:00:00"/>
    <s v="C-2752"/>
    <s v="Frank Johnson"/>
    <x v="0"/>
    <x v="3"/>
    <s v="Alabama"/>
    <x v="2"/>
    <x v="7"/>
    <s v="Corner Bookcase"/>
    <n v="1088.8"/>
    <n v="10"/>
    <n v="0"/>
    <n v="379.53"/>
    <n v="0.34857641440117559"/>
  </r>
  <r>
    <s v="ORD-10406"/>
    <d v="2022-11-06T00:00:00"/>
    <d v="2022-11-11T00:00:00"/>
    <s v="C-6582"/>
    <s v="David Martinez"/>
    <x v="1"/>
    <x v="3"/>
    <s v="Alabama"/>
    <x v="2"/>
    <x v="4"/>
    <s v="Side Table"/>
    <n v="767.59"/>
    <n v="4"/>
    <n v="0.3"/>
    <n v="271.76"/>
    <n v="0.35404317409033464"/>
  </r>
  <r>
    <s v="ORD-10407"/>
    <d v="2023-03-22T00:00:00"/>
    <d v="2023-03-27T00:00:00"/>
    <s v="C-8584"/>
    <s v="Frank Johnson"/>
    <x v="0"/>
    <x v="2"/>
    <s v="Illinois"/>
    <x v="1"/>
    <x v="8"/>
    <s v="Ring Binder"/>
    <n v="147.19999999999999"/>
    <n v="10"/>
    <n v="0"/>
    <n v="44.45"/>
    <n v="0.30197010869565222"/>
  </r>
  <r>
    <s v="ORD-10408"/>
    <d v="2023-04-01T00:00:00"/>
    <d v="2023-04-03T00:00:00"/>
    <s v="C-2007"/>
    <s v="Bob Brown"/>
    <x v="0"/>
    <x v="2"/>
    <s v="Michigan"/>
    <x v="1"/>
    <x v="8"/>
    <s v="Ring Binder"/>
    <n v="114.96"/>
    <n v="10"/>
    <n v="0.2"/>
    <n v="42.32"/>
    <n v="0.36812804453723036"/>
  </r>
  <r>
    <s v="ORD-10409"/>
    <d v="2022-05-23T00:00:00"/>
    <d v="2022-05-28T00:00:00"/>
    <s v="C-6187"/>
    <s v="Eve Jones"/>
    <x v="1"/>
    <x v="0"/>
    <s v="Washington"/>
    <x v="0"/>
    <x v="2"/>
    <s v="Brother Printer"/>
    <n v="1148.56"/>
    <n v="5"/>
    <n v="0.3"/>
    <n v="460.67"/>
    <n v="0.40108483666504147"/>
  </r>
  <r>
    <s v="ORD-10410"/>
    <d v="2023-03-22T00:00:00"/>
    <d v="2023-03-28T00:00:00"/>
    <s v="C-6885"/>
    <s v="Bob Jones"/>
    <x v="1"/>
    <x v="2"/>
    <s v="Texas"/>
    <x v="0"/>
    <x v="2"/>
    <s v="Canon Copier"/>
    <n v="1404.95"/>
    <n v="5"/>
    <n v="0"/>
    <n v="631.92999999999995"/>
    <n v="0.44978824869212425"/>
  </r>
  <r>
    <s v="ORD-10411"/>
    <d v="2022-02-01T00:00:00"/>
    <d v="2022-02-03T00:00:00"/>
    <s v="C-8780"/>
    <s v="Carol Brown"/>
    <x v="1"/>
    <x v="3"/>
    <s v="Alabama"/>
    <x v="2"/>
    <x v="9"/>
    <s v="Storage Cabinet"/>
    <n v="625.96"/>
    <n v="7"/>
    <n v="0.05"/>
    <n v="178.01"/>
    <n v="0.28437919355869379"/>
  </r>
  <r>
    <s v="ORD-10412"/>
    <d v="2023-07-23T00:00:00"/>
    <d v="2023-07-27T00:00:00"/>
    <s v="C-8974"/>
    <s v="Grace Williams"/>
    <x v="0"/>
    <x v="2"/>
    <s v="Michigan"/>
    <x v="2"/>
    <x v="4"/>
    <s v="Standing Desk"/>
    <n v="220.57"/>
    <n v="1"/>
    <n v="0"/>
    <n v="91.32"/>
    <n v="0.41401822550664186"/>
  </r>
  <r>
    <s v="ORD-10413"/>
    <d v="2022-03-28T00:00:00"/>
    <d v="2022-03-30T00:00:00"/>
    <s v="C-8373"/>
    <s v="Grace Garcia"/>
    <x v="1"/>
    <x v="3"/>
    <s v="Alabama"/>
    <x v="1"/>
    <x v="1"/>
    <s v="Mini Fridge"/>
    <n v="240.43"/>
    <n v="3"/>
    <n v="0.2"/>
    <n v="75.010000000000005"/>
    <n v="0.31198269766668052"/>
  </r>
  <r>
    <s v="ORD-10414"/>
    <d v="2022-08-20T00:00:00"/>
    <d v="2022-08-22T00:00:00"/>
    <s v="C-1620"/>
    <s v="Jack Davis"/>
    <x v="1"/>
    <x v="3"/>
    <s v="Georgia"/>
    <x v="2"/>
    <x v="4"/>
    <s v="Side Table"/>
    <n v="1857.34"/>
    <n v="9"/>
    <n v="0.15"/>
    <n v="820.27"/>
    <n v="0.44163696469144048"/>
  </r>
  <r>
    <s v="ORD-10415"/>
    <d v="2023-12-23T00:00:00"/>
    <d v="2023-12-26T00:00:00"/>
    <s v="C-2281"/>
    <s v="Iris Johnson"/>
    <x v="1"/>
    <x v="0"/>
    <s v="Nevada"/>
    <x v="0"/>
    <x v="0"/>
    <s v="Keyboard"/>
    <n v="366.44"/>
    <n v="9"/>
    <n v="0.1"/>
    <n v="122.31"/>
    <n v="0.33377906342102392"/>
  </r>
  <r>
    <s v="ORD-10416"/>
    <d v="2022-09-09T00:00:00"/>
    <d v="2022-09-13T00:00:00"/>
    <s v="C-6431"/>
    <s v="Grace Garcia"/>
    <x v="1"/>
    <x v="0"/>
    <s v="Oregon"/>
    <x v="0"/>
    <x v="6"/>
    <s v="HP Notebook"/>
    <n v="631.29"/>
    <n v="1"/>
    <n v="0.3"/>
    <n v="193.5"/>
    <n v="0.30651523071805353"/>
  </r>
  <r>
    <s v="ORD-10417"/>
    <d v="2022-10-29T00:00:00"/>
    <d v="2022-11-01T00:00:00"/>
    <s v="C-1845"/>
    <s v="Eve Smith"/>
    <x v="1"/>
    <x v="1"/>
    <s v="New York"/>
    <x v="1"/>
    <x v="10"/>
    <s v="Filing Cabinet"/>
    <n v="372.4"/>
    <n v="10"/>
    <n v="0.3"/>
    <n v="113.76"/>
    <n v="0.30547798066595061"/>
  </r>
  <r>
    <s v="ORD-10418"/>
    <d v="2022-10-21T00:00:00"/>
    <d v="2022-10-25T00:00:00"/>
    <s v="C-1232"/>
    <s v="Bob Williams"/>
    <x v="1"/>
    <x v="0"/>
    <s v="Washington"/>
    <x v="0"/>
    <x v="6"/>
    <s v="MacBook Pro"/>
    <n v="2586.71"/>
    <n v="3"/>
    <n v="0.1"/>
    <n v="609.26"/>
    <n v="0.23553471398030704"/>
  </r>
  <r>
    <s v="ORD-10419"/>
    <d v="2023-08-29T00:00:00"/>
    <d v="2023-09-04T00:00:00"/>
    <s v="C-2382"/>
    <s v="Carol Williams"/>
    <x v="2"/>
    <x v="1"/>
    <s v="Florida"/>
    <x v="0"/>
    <x v="6"/>
    <s v="HP Notebook"/>
    <n v="3631.92"/>
    <n v="4"/>
    <n v="0"/>
    <n v="1323.06"/>
    <n v="0.36428665829643825"/>
  </r>
  <r>
    <s v="ORD-10420"/>
    <d v="2023-05-23T00:00:00"/>
    <d v="2023-05-30T00:00:00"/>
    <s v="C-5331"/>
    <s v="Bob Smith"/>
    <x v="0"/>
    <x v="3"/>
    <s v="Alabama"/>
    <x v="1"/>
    <x v="1"/>
    <s v="Mini Fridge"/>
    <n v="228.89"/>
    <n v="3"/>
    <n v="0.15"/>
    <n v="99.89"/>
    <n v="0.43641050286163663"/>
  </r>
  <r>
    <s v="ORD-10421"/>
    <d v="2022-06-21T00:00:00"/>
    <d v="2022-06-25T00:00:00"/>
    <s v="C-8122"/>
    <s v="Alice Jones"/>
    <x v="2"/>
    <x v="3"/>
    <s v="Alabama"/>
    <x v="2"/>
    <x v="4"/>
    <s v="Conference Table"/>
    <n v="1861.23"/>
    <n v="7"/>
    <n v="0"/>
    <n v="590.73"/>
    <n v="0.31738688931513032"/>
  </r>
  <r>
    <s v="ORD-10422"/>
    <d v="2023-04-05T00:00:00"/>
    <d v="2023-04-09T00:00:00"/>
    <s v="C-5375"/>
    <s v="Bob Jones"/>
    <x v="0"/>
    <x v="2"/>
    <s v="Texas"/>
    <x v="1"/>
    <x v="10"/>
    <s v="Storage Bin"/>
    <n v="625.23"/>
    <n v="10"/>
    <n v="0.1"/>
    <n v="229"/>
    <n v="0.36626521440110038"/>
  </r>
  <r>
    <s v="ORD-10423"/>
    <d v="2023-11-02T00:00:00"/>
    <d v="2023-11-07T00:00:00"/>
    <s v="C-3947"/>
    <s v="Frank Smith"/>
    <x v="1"/>
    <x v="3"/>
    <s v="Alabama"/>
    <x v="1"/>
    <x v="5"/>
    <s v="Copy Paper"/>
    <n v="183.09"/>
    <n v="10"/>
    <n v="0.15"/>
    <n v="51.37"/>
    <n v="0.28057239608935497"/>
  </r>
  <r>
    <s v="ORD-10424"/>
    <d v="2023-11-20T00:00:00"/>
    <d v="2023-11-21T00:00:00"/>
    <s v="C-1557"/>
    <s v="Alice Johnson"/>
    <x v="2"/>
    <x v="0"/>
    <s v="California"/>
    <x v="0"/>
    <x v="3"/>
    <s v="Pixel 6"/>
    <n v="3266.5"/>
    <n v="8"/>
    <n v="0.1"/>
    <n v="1264.22"/>
    <n v="0.38702586866676875"/>
  </r>
  <r>
    <s v="ORD-10425"/>
    <d v="2022-02-28T00:00:00"/>
    <d v="2022-03-05T00:00:00"/>
    <s v="C-4018"/>
    <s v="Eve Jones"/>
    <x v="1"/>
    <x v="1"/>
    <s v="New York"/>
    <x v="0"/>
    <x v="3"/>
    <s v="Pixel 6"/>
    <n v="1375.89"/>
    <n v="3"/>
    <n v="0"/>
    <n v="310.95"/>
    <n v="0.22599917144539169"/>
  </r>
  <r>
    <s v="ORD-10426"/>
    <d v="2023-04-24T00:00:00"/>
    <d v="2023-04-30T00:00:00"/>
    <s v="C-7271"/>
    <s v="Grace Garcia"/>
    <x v="2"/>
    <x v="0"/>
    <s v="Nevada"/>
    <x v="2"/>
    <x v="7"/>
    <s v="3-Shelf Bookcase"/>
    <n v="389.23"/>
    <n v="3"/>
    <n v="0.1"/>
    <n v="99.54"/>
    <n v="0.25573568327210133"/>
  </r>
  <r>
    <s v="ORD-10427"/>
    <d v="2022-03-03T00:00:00"/>
    <d v="2022-03-06T00:00:00"/>
    <s v="C-9857"/>
    <s v="Grace Brown"/>
    <x v="2"/>
    <x v="2"/>
    <s v="Illinois"/>
    <x v="0"/>
    <x v="2"/>
    <s v="Canon Copier"/>
    <n v="2299.7800000000002"/>
    <n v="10"/>
    <n v="0.3"/>
    <n v="972.56"/>
    <n v="0.42289262451190979"/>
  </r>
  <r>
    <s v="ORD-10428"/>
    <d v="2023-09-21T00:00:00"/>
    <d v="2023-09-27T00:00:00"/>
    <s v="C-1307"/>
    <s v="Henry Williams"/>
    <x v="1"/>
    <x v="0"/>
    <s v="Nevada"/>
    <x v="2"/>
    <x v="11"/>
    <s v="Mesh Chair"/>
    <n v="285.66000000000003"/>
    <n v="2"/>
    <n v="0.1"/>
    <n v="73.040000000000006"/>
    <n v="0.25568858083035778"/>
  </r>
  <r>
    <s v="ORD-10429"/>
    <d v="2023-10-31T00:00:00"/>
    <d v="2023-11-06T00:00:00"/>
    <s v="C-9039"/>
    <s v="Henry Martinez"/>
    <x v="1"/>
    <x v="0"/>
    <s v="California"/>
    <x v="2"/>
    <x v="7"/>
    <s v="5-Shelf Bookcase"/>
    <n v="905.1"/>
    <n v="6"/>
    <n v="0"/>
    <n v="290.68"/>
    <n v="0.32115788310683901"/>
  </r>
  <r>
    <s v="ORD-10430"/>
    <d v="2023-02-18T00:00:00"/>
    <d v="2023-02-25T00:00:00"/>
    <s v="C-5961"/>
    <s v="Grace Smith"/>
    <x v="0"/>
    <x v="0"/>
    <s v="Washington"/>
    <x v="2"/>
    <x v="9"/>
    <s v="Lamp Set"/>
    <n v="834.53"/>
    <n v="10"/>
    <n v="0.15"/>
    <n v="305.97000000000003"/>
    <n v="0.36663750853773985"/>
  </r>
  <r>
    <s v="ORD-10431"/>
    <d v="2023-10-10T00:00:00"/>
    <d v="2023-10-16T00:00:00"/>
    <s v="C-7294"/>
    <s v="David Jones"/>
    <x v="1"/>
    <x v="0"/>
    <s v="Oregon"/>
    <x v="2"/>
    <x v="11"/>
    <s v="Executive Chair"/>
    <n v="1027.3499999999999"/>
    <n v="5"/>
    <n v="0"/>
    <n v="319.89999999999998"/>
    <n v="0.31138365698155451"/>
  </r>
  <r>
    <s v="ORD-10432"/>
    <d v="2023-12-14T00:00:00"/>
    <d v="2023-12-18T00:00:00"/>
    <s v="C-4907"/>
    <s v="Henry Martinez"/>
    <x v="2"/>
    <x v="0"/>
    <s v="Oregon"/>
    <x v="0"/>
    <x v="2"/>
    <s v="Brother Printer"/>
    <n v="1110.17"/>
    <n v="4"/>
    <n v="0.05"/>
    <n v="492.54"/>
    <n v="0.44366178152895502"/>
  </r>
  <r>
    <s v="ORD-10433"/>
    <d v="2022-03-06T00:00:00"/>
    <d v="2022-03-13T00:00:00"/>
    <s v="C-4468"/>
    <s v="Iris Davis"/>
    <x v="1"/>
    <x v="2"/>
    <s v="Michigan"/>
    <x v="2"/>
    <x v="11"/>
    <s v="Mesh Chair"/>
    <n v="945.24"/>
    <n v="6"/>
    <n v="0"/>
    <n v="329.53"/>
    <n v="0.34862045618044091"/>
  </r>
  <r>
    <s v="ORD-10434"/>
    <d v="2023-11-26T00:00:00"/>
    <d v="2023-12-03T00:00:00"/>
    <s v="C-3138"/>
    <s v="Alice Williams"/>
    <x v="0"/>
    <x v="1"/>
    <s v="Pennsylvania"/>
    <x v="0"/>
    <x v="0"/>
    <s v="Wireless Mouse"/>
    <n v="37.17"/>
    <n v="1"/>
    <n v="0"/>
    <n v="14.47"/>
    <n v="0.38929244013989778"/>
  </r>
  <r>
    <s v="ORD-10435"/>
    <d v="2023-10-10T00:00:00"/>
    <d v="2023-10-11T00:00:00"/>
    <s v="C-4613"/>
    <s v="Bob Brown"/>
    <x v="2"/>
    <x v="2"/>
    <s v="Texas"/>
    <x v="1"/>
    <x v="5"/>
    <s v="Copy Paper"/>
    <n v="43.84"/>
    <n v="2"/>
    <n v="0"/>
    <n v="18.48"/>
    <n v="0.42153284671532842"/>
  </r>
  <r>
    <s v="ORD-10436"/>
    <d v="2023-03-13T00:00:00"/>
    <d v="2023-03-16T00:00:00"/>
    <s v="C-2978"/>
    <s v="Eve Williams"/>
    <x v="0"/>
    <x v="3"/>
    <s v="Tennessee"/>
    <x v="1"/>
    <x v="5"/>
    <s v="Legal Pad"/>
    <n v="85.96"/>
    <n v="4"/>
    <n v="0"/>
    <n v="31.47"/>
    <n v="0.36610051186598419"/>
  </r>
  <r>
    <s v="ORD-10437"/>
    <d v="2023-03-02T00:00:00"/>
    <d v="2023-03-04T00:00:00"/>
    <s v="C-1256"/>
    <s v="Henry Johnson"/>
    <x v="2"/>
    <x v="2"/>
    <s v="Illinois"/>
    <x v="0"/>
    <x v="3"/>
    <s v="iPhone 13"/>
    <n v="868.3"/>
    <n v="2"/>
    <n v="0.2"/>
    <n v="221.92"/>
    <n v="0.25557986870897154"/>
  </r>
  <r>
    <s v="ORD-10438"/>
    <d v="2022-01-07T00:00:00"/>
    <d v="2022-01-08T00:00:00"/>
    <s v="C-5439"/>
    <s v="Iris Davis"/>
    <x v="1"/>
    <x v="1"/>
    <s v="New York"/>
    <x v="1"/>
    <x v="10"/>
    <s v="Storage Bin"/>
    <n v="485.56"/>
    <n v="8"/>
    <n v="0.05"/>
    <n v="201.13"/>
    <n v="0.41422275310981133"/>
  </r>
  <r>
    <s v="ORD-10439"/>
    <d v="2023-02-26T00:00:00"/>
    <d v="2023-02-28T00:00:00"/>
    <s v="C-1074"/>
    <s v="Iris Brown"/>
    <x v="1"/>
    <x v="1"/>
    <s v="New York"/>
    <x v="0"/>
    <x v="2"/>
    <s v="Brother Printer"/>
    <n v="652.17999999999995"/>
    <n v="2"/>
    <n v="0.1"/>
    <n v="236.77"/>
    <n v="0.36304394492318076"/>
  </r>
  <r>
    <s v="ORD-10440"/>
    <d v="2022-07-16T00:00:00"/>
    <d v="2022-07-17T00:00:00"/>
    <s v="C-3444"/>
    <s v="Henry Davis"/>
    <x v="1"/>
    <x v="0"/>
    <s v="Oregon"/>
    <x v="1"/>
    <x v="5"/>
    <s v="Legal Pad"/>
    <n v="66.650000000000006"/>
    <n v="4"/>
    <n v="0.05"/>
    <n v="28.11"/>
    <n v="0.42175543885971489"/>
  </r>
  <r>
    <s v="ORD-10441"/>
    <d v="2022-06-30T00:00:00"/>
    <d v="2022-07-02T00:00:00"/>
    <s v="C-1859"/>
    <s v="Iris Williams"/>
    <x v="1"/>
    <x v="0"/>
    <s v="California"/>
    <x v="2"/>
    <x v="7"/>
    <s v="5-Shelf Bookcase"/>
    <n v="566.29"/>
    <n v="7"/>
    <n v="0.3"/>
    <n v="248.7"/>
    <n v="0.43917427466492431"/>
  </r>
  <r>
    <s v="ORD-10442"/>
    <d v="2022-06-11T00:00:00"/>
    <d v="2022-06-18T00:00:00"/>
    <s v="C-6336"/>
    <s v="David Johnson"/>
    <x v="1"/>
    <x v="0"/>
    <s v="Nevada"/>
    <x v="0"/>
    <x v="3"/>
    <s v="iPhone 13"/>
    <n v="3417.14"/>
    <n v="8"/>
    <n v="0.15"/>
    <n v="1179.71"/>
    <n v="0.34523314818825102"/>
  </r>
  <r>
    <s v="ORD-10443"/>
    <d v="2022-11-30T00:00:00"/>
    <d v="2022-12-02T00:00:00"/>
    <s v="C-8141"/>
    <s v="Carol Brown"/>
    <x v="1"/>
    <x v="0"/>
    <s v="Washington"/>
    <x v="2"/>
    <x v="4"/>
    <s v="Conference Table"/>
    <n v="618.16"/>
    <n v="4"/>
    <n v="0.3"/>
    <n v="269.77"/>
    <n v="0.4364080496958716"/>
  </r>
  <r>
    <s v="ORD-10444"/>
    <d v="2023-09-17T00:00:00"/>
    <d v="2023-09-21T00:00:00"/>
    <s v="C-3084"/>
    <s v="Alice Smith"/>
    <x v="2"/>
    <x v="1"/>
    <s v="Florida"/>
    <x v="0"/>
    <x v="2"/>
    <s v="Brother Printer"/>
    <n v="1306.8399999999999"/>
    <n v="4"/>
    <n v="0.1"/>
    <n v="522.01"/>
    <n v="0.39944446144899148"/>
  </r>
  <r>
    <s v="ORD-10445"/>
    <d v="2022-10-15T00:00:00"/>
    <d v="2022-10-17T00:00:00"/>
    <s v="C-3784"/>
    <s v="Jack Brown"/>
    <x v="2"/>
    <x v="0"/>
    <s v="Nevada"/>
    <x v="2"/>
    <x v="4"/>
    <s v="Conference Table"/>
    <n v="1248.8800000000001"/>
    <n v="4"/>
    <n v="0"/>
    <n v="315.48"/>
    <n v="0.25261033886362178"/>
  </r>
  <r>
    <s v="ORD-10446"/>
    <d v="2022-03-30T00:00:00"/>
    <d v="2022-04-03T00:00:00"/>
    <s v="C-8114"/>
    <s v="Jack Brown"/>
    <x v="1"/>
    <x v="3"/>
    <s v="North Carolina"/>
    <x v="2"/>
    <x v="9"/>
    <s v="Storage Cabinet"/>
    <n v="100.77"/>
    <n v="1"/>
    <n v="0.05"/>
    <n v="39.1"/>
    <n v="0.3880123052495783"/>
  </r>
  <r>
    <s v="ORD-10447"/>
    <d v="2023-08-29T00:00:00"/>
    <d v="2023-08-31T00:00:00"/>
    <s v="C-2605"/>
    <s v="Henry Davis"/>
    <x v="0"/>
    <x v="0"/>
    <s v="Nevada"/>
    <x v="0"/>
    <x v="2"/>
    <s v="Brother Printer"/>
    <n v="1993.25"/>
    <n v="9"/>
    <n v="0.2"/>
    <n v="658.14"/>
    <n v="0.33018437225636521"/>
  </r>
  <r>
    <s v="ORD-10448"/>
    <d v="2022-09-04T00:00:00"/>
    <d v="2022-09-05T00:00:00"/>
    <s v="C-5994"/>
    <s v="Carol Davis"/>
    <x v="0"/>
    <x v="0"/>
    <s v="Nevada"/>
    <x v="0"/>
    <x v="6"/>
    <s v="MacBook Pro"/>
    <n v="3880.88"/>
    <n v="4"/>
    <n v="0"/>
    <n v="1730.94"/>
    <n v="0.44601739811589125"/>
  </r>
  <r>
    <s v="ORD-10449"/>
    <d v="2023-08-08T00:00:00"/>
    <d v="2023-08-14T00:00:00"/>
    <s v="C-2158"/>
    <s v="Grace Garcia"/>
    <x v="2"/>
    <x v="0"/>
    <s v="Nevada"/>
    <x v="0"/>
    <x v="2"/>
    <s v="Canon Copier"/>
    <n v="2173.56"/>
    <n v="6"/>
    <n v="0"/>
    <n v="510.58"/>
    <n v="0.23490494856364674"/>
  </r>
  <r>
    <s v="ORD-10450"/>
    <d v="2023-06-28T00:00:00"/>
    <d v="2023-06-29T00:00:00"/>
    <s v="C-1898"/>
    <s v="Iris Garcia"/>
    <x v="2"/>
    <x v="2"/>
    <s v="Michigan"/>
    <x v="1"/>
    <x v="5"/>
    <s v="Copy Paper"/>
    <n v="34.56"/>
    <n v="2"/>
    <n v="0.15"/>
    <n v="9.1999999999999993"/>
    <n v="0.26620370370370366"/>
  </r>
  <r>
    <s v="ORD-10451"/>
    <d v="2022-02-22T00:00:00"/>
    <d v="2022-02-23T00:00:00"/>
    <s v="C-4354"/>
    <s v="Carol Garcia"/>
    <x v="2"/>
    <x v="3"/>
    <s v="Tennessee"/>
    <x v="1"/>
    <x v="8"/>
    <s v="Presentation Binder"/>
    <n v="66.900000000000006"/>
    <n v="6"/>
    <n v="0"/>
    <n v="20.73"/>
    <n v="0.30986547085201793"/>
  </r>
  <r>
    <s v="ORD-10452"/>
    <d v="2022-09-02T00:00:00"/>
    <d v="2022-09-07T00:00:00"/>
    <s v="C-7929"/>
    <s v="Eve Smith"/>
    <x v="1"/>
    <x v="0"/>
    <s v="Nevada"/>
    <x v="1"/>
    <x v="5"/>
    <s v="Copy Paper"/>
    <n v="64.44"/>
    <n v="4"/>
    <n v="0.1"/>
    <n v="20.89"/>
    <n v="0.32417752948479206"/>
  </r>
  <r>
    <s v="ORD-10453"/>
    <d v="2022-03-06T00:00:00"/>
    <d v="2022-03-09T00:00:00"/>
    <s v="C-7031"/>
    <s v="Bob Brown"/>
    <x v="2"/>
    <x v="2"/>
    <s v="Michigan"/>
    <x v="1"/>
    <x v="8"/>
    <s v="Presentation Binder"/>
    <n v="112.27"/>
    <n v="9"/>
    <n v="0.1"/>
    <n v="37.840000000000003"/>
    <n v="0.33704462456577899"/>
  </r>
  <r>
    <s v="ORD-10454"/>
    <d v="2023-04-14T00:00:00"/>
    <d v="2023-04-15T00:00:00"/>
    <s v="C-4346"/>
    <s v="Iris Smith"/>
    <x v="0"/>
    <x v="0"/>
    <s v="Nevada"/>
    <x v="2"/>
    <x v="11"/>
    <s v="Mesh Chair"/>
    <n v="526.04999999999995"/>
    <n v="3"/>
    <n v="0"/>
    <n v="171.45"/>
    <n v="0.32591958939264332"/>
  </r>
  <r>
    <s v="ORD-10455"/>
    <d v="2022-10-28T00:00:00"/>
    <d v="2022-11-01T00:00:00"/>
    <s v="C-4806"/>
    <s v="Iris Garcia"/>
    <x v="2"/>
    <x v="1"/>
    <s v="Florida"/>
    <x v="2"/>
    <x v="9"/>
    <s v="Whiteboard"/>
    <n v="88.31"/>
    <n v="1"/>
    <n v="0"/>
    <n v="39.25"/>
    <n v="0.44445702638432794"/>
  </r>
  <r>
    <s v="ORD-10456"/>
    <d v="2023-02-26T00:00:00"/>
    <d v="2023-03-03T00:00:00"/>
    <s v="C-5259"/>
    <s v="David Davis"/>
    <x v="2"/>
    <x v="2"/>
    <s v="Ohio"/>
    <x v="1"/>
    <x v="1"/>
    <s v="Microwave"/>
    <n v="472.5"/>
    <n v="5"/>
    <n v="0.1"/>
    <n v="192.34"/>
    <n v="0.40706878306878308"/>
  </r>
  <r>
    <s v="ORD-10457"/>
    <d v="2023-01-16T00:00:00"/>
    <d v="2023-01-19T00:00:00"/>
    <s v="C-3873"/>
    <s v="Carol Williams"/>
    <x v="2"/>
    <x v="0"/>
    <s v="Washington"/>
    <x v="2"/>
    <x v="9"/>
    <s v="Lamp Set"/>
    <n v="1025.3699999999999"/>
    <n v="10"/>
    <n v="0.1"/>
    <n v="414.69"/>
    <n v="0.40442962052722436"/>
  </r>
  <r>
    <s v="ORD-10458"/>
    <d v="2022-09-01T00:00:00"/>
    <d v="2022-09-02T00:00:00"/>
    <s v="C-6633"/>
    <s v="Carol Garcia"/>
    <x v="1"/>
    <x v="0"/>
    <s v="Oregon"/>
    <x v="0"/>
    <x v="2"/>
    <s v="Xerox MX"/>
    <n v="1791.42"/>
    <n v="6"/>
    <n v="0"/>
    <n v="508.07"/>
    <n v="0.28361299974322046"/>
  </r>
  <r>
    <s v="ORD-10459"/>
    <d v="2023-04-05T00:00:00"/>
    <d v="2023-04-10T00:00:00"/>
    <s v="C-9948"/>
    <s v="Iris Garcia"/>
    <x v="0"/>
    <x v="1"/>
    <s v="Virginia"/>
    <x v="0"/>
    <x v="2"/>
    <s v="Xerox MX"/>
    <n v="1041.6199999999999"/>
    <n v="3"/>
    <n v="0.15"/>
    <n v="428.09"/>
    <n v="0.41098481211958299"/>
  </r>
  <r>
    <s v="ORD-10460"/>
    <d v="2023-10-25T00:00:00"/>
    <d v="2023-10-31T00:00:00"/>
    <s v="C-1656"/>
    <s v="Carol Johnson"/>
    <x v="2"/>
    <x v="2"/>
    <s v="Michigan"/>
    <x v="1"/>
    <x v="5"/>
    <s v="Copy Paper"/>
    <n v="144.32"/>
    <n v="8"/>
    <n v="0"/>
    <n v="38.549999999999997"/>
    <n v="0.26711474501108645"/>
  </r>
  <r>
    <s v="ORD-10461"/>
    <d v="2022-11-12T00:00:00"/>
    <d v="2022-11-13T00:00:00"/>
    <s v="C-4639"/>
    <s v="Eve Brown"/>
    <x v="2"/>
    <x v="3"/>
    <s v="North Carolina"/>
    <x v="2"/>
    <x v="11"/>
    <s v="Executive Chair"/>
    <n v="192.15"/>
    <n v="1"/>
    <n v="0.05"/>
    <n v="58.44"/>
    <n v="0.30413739266198281"/>
  </r>
  <r>
    <s v="ORD-10462"/>
    <d v="2022-01-24T00:00:00"/>
    <d v="2022-01-25T00:00:00"/>
    <s v="C-6915"/>
    <s v="Grace Williams"/>
    <x v="1"/>
    <x v="3"/>
    <s v="Georgia"/>
    <x v="2"/>
    <x v="4"/>
    <s v="Conference Table"/>
    <n v="1682.16"/>
    <n v="6"/>
    <n v="0"/>
    <n v="374.93"/>
    <n v="0.22288605126741806"/>
  </r>
  <r>
    <s v="ORD-10463"/>
    <d v="2023-03-14T00:00:00"/>
    <d v="2023-03-17T00:00:00"/>
    <s v="C-8278"/>
    <s v="Grace Davis"/>
    <x v="0"/>
    <x v="3"/>
    <s v="Tennessee"/>
    <x v="2"/>
    <x v="7"/>
    <s v="3-Shelf Bookcase"/>
    <n v="773.95"/>
    <n v="5"/>
    <n v="0"/>
    <n v="306.54000000000002"/>
    <n v="0.39607209768072871"/>
  </r>
  <r>
    <s v="ORD-10464"/>
    <d v="2022-10-23T00:00:00"/>
    <d v="2022-10-25T00:00:00"/>
    <s v="C-7156"/>
    <s v="Bob Smith"/>
    <x v="0"/>
    <x v="3"/>
    <s v="Alabama"/>
    <x v="1"/>
    <x v="8"/>
    <s v="Heavy Duty Binder"/>
    <n v="40.26"/>
    <n v="4"/>
    <n v="0.15"/>
    <n v="17.45"/>
    <n v="0.43343268753104819"/>
  </r>
  <r>
    <s v="ORD-10465"/>
    <d v="2023-02-24T00:00:00"/>
    <d v="2023-03-02T00:00:00"/>
    <s v="C-7254"/>
    <s v="Eve Davis"/>
    <x v="0"/>
    <x v="2"/>
    <s v="Michigan"/>
    <x v="1"/>
    <x v="1"/>
    <s v="Mini Fridge"/>
    <n v="1130.4000000000001"/>
    <n v="10"/>
    <n v="0"/>
    <n v="452.37"/>
    <n v="0.40018577494692142"/>
  </r>
  <r>
    <s v="ORD-10466"/>
    <d v="2022-02-13T00:00:00"/>
    <d v="2022-02-20T00:00:00"/>
    <s v="C-8742"/>
    <s v="Bob Jones"/>
    <x v="2"/>
    <x v="2"/>
    <s v="Ohio"/>
    <x v="1"/>
    <x v="1"/>
    <s v="Coffee Maker"/>
    <n v="114.57"/>
    <n v="1"/>
    <n v="0"/>
    <n v="44.03"/>
    <n v="0.38430653748799865"/>
  </r>
  <r>
    <s v="ORD-10467"/>
    <d v="2023-03-04T00:00:00"/>
    <d v="2023-03-06T00:00:00"/>
    <s v="C-8144"/>
    <s v="Eve Davis"/>
    <x v="0"/>
    <x v="3"/>
    <s v="North Carolina"/>
    <x v="0"/>
    <x v="6"/>
    <s v="MacBook Pro"/>
    <n v="1617.69"/>
    <n v="2"/>
    <n v="0.15"/>
    <n v="492.96"/>
    <n v="0.30473081987278156"/>
  </r>
  <r>
    <s v="ORD-10468"/>
    <d v="2023-12-12T00:00:00"/>
    <d v="2023-12-19T00:00:00"/>
    <s v="C-3219"/>
    <s v="Frank Williams"/>
    <x v="1"/>
    <x v="0"/>
    <s v="Oregon"/>
    <x v="1"/>
    <x v="8"/>
    <s v="Presentation Binder"/>
    <n v="40.020000000000003"/>
    <n v="3"/>
    <n v="0"/>
    <n v="14.81"/>
    <n v="0.37006496751624185"/>
  </r>
  <r>
    <s v="ORD-10469"/>
    <d v="2022-02-24T00:00:00"/>
    <d v="2022-02-27T00:00:00"/>
    <s v="C-4002"/>
    <s v="Bob Williams"/>
    <x v="1"/>
    <x v="2"/>
    <s v="Michigan"/>
    <x v="2"/>
    <x v="11"/>
    <s v="Executive Chair"/>
    <n v="979.5"/>
    <n v="5"/>
    <n v="0"/>
    <n v="314.94"/>
    <n v="0.32153139356814703"/>
  </r>
  <r>
    <s v="ORD-10470"/>
    <d v="2023-07-11T00:00:00"/>
    <d v="2023-07-14T00:00:00"/>
    <s v="C-9489"/>
    <s v="Eve Garcia"/>
    <x v="2"/>
    <x v="2"/>
    <s v="Ohio"/>
    <x v="1"/>
    <x v="10"/>
    <s v="File Box"/>
    <n v="549.99"/>
    <n v="9"/>
    <n v="0"/>
    <n v="245.72"/>
    <n v="0.44677175948653614"/>
  </r>
  <r>
    <s v="ORD-10471"/>
    <d v="2023-05-12T00:00:00"/>
    <d v="2023-05-16T00:00:00"/>
    <s v="C-2251"/>
    <s v="Bob Williams"/>
    <x v="0"/>
    <x v="2"/>
    <s v="Illinois"/>
    <x v="0"/>
    <x v="0"/>
    <s v="Keyboard"/>
    <n v="171.4"/>
    <n v="4"/>
    <n v="0"/>
    <n v="59.25"/>
    <n v="0.34568261376896148"/>
  </r>
  <r>
    <s v="ORD-10472"/>
    <d v="2022-01-18T00:00:00"/>
    <d v="2022-01-22T00:00:00"/>
    <s v="C-5991"/>
    <s v="Alice Johnson"/>
    <x v="1"/>
    <x v="2"/>
    <s v="Ohio"/>
    <x v="2"/>
    <x v="4"/>
    <s v="Conference Table"/>
    <n v="2306.4699999999998"/>
    <n v="10"/>
    <n v="0.15"/>
    <n v="938.61"/>
    <n v="0.40694654602054225"/>
  </r>
  <r>
    <s v="ORD-10473"/>
    <d v="2022-08-16T00:00:00"/>
    <d v="2022-08-18T00:00:00"/>
    <s v="C-8934"/>
    <s v="Grace Smith"/>
    <x v="2"/>
    <x v="1"/>
    <s v="Pennsylvania"/>
    <x v="0"/>
    <x v="0"/>
    <s v="USB Hub"/>
    <n v="72.88"/>
    <n v="2"/>
    <n v="0"/>
    <n v="31.38"/>
    <n v="0.4305708013172338"/>
  </r>
  <r>
    <s v="ORD-10474"/>
    <d v="2022-07-21T00:00:00"/>
    <d v="2022-07-22T00:00:00"/>
    <s v="C-3028"/>
    <s v="Jack Brown"/>
    <x v="2"/>
    <x v="0"/>
    <s v="California"/>
    <x v="0"/>
    <x v="6"/>
    <s v="Dell Laptop"/>
    <n v="1675.76"/>
    <n v="2"/>
    <n v="0"/>
    <n v="437.98"/>
    <n v="0.26136200887955319"/>
  </r>
  <r>
    <s v="ORD-10475"/>
    <d v="2023-08-25T00:00:00"/>
    <d v="2023-08-27T00:00:00"/>
    <s v="C-9202"/>
    <s v="Jack Brown"/>
    <x v="0"/>
    <x v="1"/>
    <s v="Virginia"/>
    <x v="0"/>
    <x v="0"/>
    <s v="Keyboard"/>
    <n v="189.93"/>
    <n v="5"/>
    <n v="0.15"/>
    <n v="68.75"/>
    <n v="0.36197546464486913"/>
  </r>
  <r>
    <s v="ORD-10476"/>
    <d v="2023-06-02T00:00:00"/>
    <d v="2023-06-07T00:00:00"/>
    <s v="C-9800"/>
    <s v="Alice Johnson"/>
    <x v="1"/>
    <x v="0"/>
    <s v="California"/>
    <x v="0"/>
    <x v="0"/>
    <s v="Keyboard"/>
    <n v="179.76"/>
    <n v="4"/>
    <n v="0"/>
    <n v="40.369999999999997"/>
    <n v="0.22457721406319536"/>
  </r>
  <r>
    <s v="ORD-10477"/>
    <d v="2022-08-08T00:00:00"/>
    <d v="2022-08-13T00:00:00"/>
    <s v="C-7948"/>
    <s v="David Brown"/>
    <x v="1"/>
    <x v="3"/>
    <s v="Tennessee"/>
    <x v="1"/>
    <x v="5"/>
    <s v="Legal Pad"/>
    <n v="28.49"/>
    <n v="2"/>
    <n v="0.15"/>
    <n v="5.83"/>
    <n v="0.20463320463320464"/>
  </r>
  <r>
    <s v="ORD-10478"/>
    <d v="2023-02-22T00:00:00"/>
    <d v="2023-02-23T00:00:00"/>
    <s v="C-9088"/>
    <s v="Bob Martinez"/>
    <x v="2"/>
    <x v="2"/>
    <s v="Texas"/>
    <x v="0"/>
    <x v="0"/>
    <s v="Wireless Mouse"/>
    <n v="245.1"/>
    <n v="6"/>
    <n v="0"/>
    <n v="105.26"/>
    <n v="0.42945736434108528"/>
  </r>
  <r>
    <s v="ORD-10479"/>
    <d v="2022-10-18T00:00:00"/>
    <d v="2022-10-22T00:00:00"/>
    <s v="C-8793"/>
    <s v="Frank Williams"/>
    <x v="0"/>
    <x v="2"/>
    <s v="Michigan"/>
    <x v="1"/>
    <x v="1"/>
    <s v="Microwave"/>
    <n v="621.74"/>
    <n v="7"/>
    <n v="0"/>
    <n v="140.71"/>
    <n v="0.22631646669025637"/>
  </r>
  <r>
    <s v="ORD-10480"/>
    <d v="2022-01-14T00:00:00"/>
    <d v="2022-01-20T00:00:00"/>
    <s v="C-3764"/>
    <s v="Bob Garcia"/>
    <x v="2"/>
    <x v="3"/>
    <s v="Georgia"/>
    <x v="2"/>
    <x v="11"/>
    <s v="Mesh Chair"/>
    <n v="554.94000000000005"/>
    <n v="3"/>
    <n v="0"/>
    <n v="146.86000000000001"/>
    <n v="0.26464122247450172"/>
  </r>
  <r>
    <s v="ORD-10481"/>
    <d v="2022-07-23T00:00:00"/>
    <d v="2022-07-26T00:00:00"/>
    <s v="C-7557"/>
    <s v="Frank Davis"/>
    <x v="0"/>
    <x v="1"/>
    <s v="Florida"/>
    <x v="0"/>
    <x v="2"/>
    <s v="Brother Printer"/>
    <n v="2247.19"/>
    <n v="8"/>
    <n v="0.1"/>
    <n v="586.35"/>
    <n v="0.26092586741664037"/>
  </r>
  <r>
    <s v="ORD-10482"/>
    <d v="2023-11-14T00:00:00"/>
    <d v="2023-11-19T00:00:00"/>
    <s v="C-3205"/>
    <s v="Alice Johnson"/>
    <x v="1"/>
    <x v="3"/>
    <s v="Alabama"/>
    <x v="2"/>
    <x v="4"/>
    <s v="Conference Table"/>
    <n v="316.75"/>
    <n v="2"/>
    <n v="0.3"/>
    <n v="103.16"/>
    <n v="0.32568271507498026"/>
  </r>
  <r>
    <s v="ORD-10483"/>
    <d v="2022-02-24T00:00:00"/>
    <d v="2022-03-03T00:00:00"/>
    <s v="C-2578"/>
    <s v="Bob Davis"/>
    <x v="1"/>
    <x v="0"/>
    <s v="Nevada"/>
    <x v="0"/>
    <x v="0"/>
    <s v="Wireless Mouse"/>
    <n v="404.5"/>
    <n v="10"/>
    <n v="0"/>
    <n v="151.41"/>
    <n v="0.37431396786155746"/>
  </r>
  <r>
    <s v="ORD-10484"/>
    <d v="2023-04-23T00:00:00"/>
    <d v="2023-04-25T00:00:00"/>
    <s v="C-1517"/>
    <s v="Grace Johnson"/>
    <x v="2"/>
    <x v="2"/>
    <s v="Michigan"/>
    <x v="1"/>
    <x v="10"/>
    <s v="Filing Cabinet"/>
    <n v="400.68"/>
    <n v="6"/>
    <n v="0"/>
    <n v="84.89"/>
    <n v="0.21186482978935808"/>
  </r>
  <r>
    <s v="ORD-10485"/>
    <d v="2023-01-28T00:00:00"/>
    <d v="2023-02-01T00:00:00"/>
    <s v="C-3689"/>
    <s v="Henry Martinez"/>
    <x v="2"/>
    <x v="2"/>
    <s v="Michigan"/>
    <x v="2"/>
    <x v="11"/>
    <s v="Mesh Chair"/>
    <n v="534.84"/>
    <n v="3"/>
    <n v="0.1"/>
    <n v="122.38"/>
    <n v="0.22881609453294441"/>
  </r>
  <r>
    <s v="ORD-10486"/>
    <d v="2022-05-18T00:00:00"/>
    <d v="2022-05-21T00:00:00"/>
    <s v="C-3560"/>
    <s v="Iris Smith"/>
    <x v="0"/>
    <x v="3"/>
    <s v="Alabama"/>
    <x v="1"/>
    <x v="1"/>
    <s v="Mini Fridge"/>
    <n v="693.31"/>
    <n v="9"/>
    <n v="0.3"/>
    <n v="229.5"/>
    <n v="0.33102075550619492"/>
  </r>
  <r>
    <s v="ORD-10487"/>
    <d v="2023-02-05T00:00:00"/>
    <d v="2023-02-08T00:00:00"/>
    <s v="C-7003"/>
    <s v="Frank Smith"/>
    <x v="1"/>
    <x v="3"/>
    <s v="Alabama"/>
    <x v="1"/>
    <x v="10"/>
    <s v="Storage Bin"/>
    <n v="289.62"/>
    <n v="6"/>
    <n v="0"/>
    <n v="121.05"/>
    <n v="0.41796146674953388"/>
  </r>
  <r>
    <s v="ORD-10488"/>
    <d v="2023-10-03T00:00:00"/>
    <d v="2023-10-06T00:00:00"/>
    <s v="C-6113"/>
    <s v="Jack Johnson"/>
    <x v="2"/>
    <x v="3"/>
    <s v="Georgia"/>
    <x v="2"/>
    <x v="7"/>
    <s v="3-Shelf Bookcase"/>
    <n v="598.78"/>
    <n v="6"/>
    <n v="0.05"/>
    <n v="232.38"/>
    <n v="0.38808911453288353"/>
  </r>
  <r>
    <s v="ORD-10489"/>
    <d v="2023-12-06T00:00:00"/>
    <d v="2023-12-07T00:00:00"/>
    <s v="C-7900"/>
    <s v="Eve Smith"/>
    <x v="2"/>
    <x v="2"/>
    <s v="Texas"/>
    <x v="0"/>
    <x v="3"/>
    <s v="Pixel 6"/>
    <n v="1872.34"/>
    <n v="6"/>
    <n v="0.2"/>
    <n v="576.66"/>
    <n v="0.30798893363384855"/>
  </r>
  <r>
    <s v="ORD-10490"/>
    <d v="2023-12-14T00:00:00"/>
    <d v="2023-12-18T00:00:00"/>
    <s v="C-4373"/>
    <s v="Frank Davis"/>
    <x v="2"/>
    <x v="0"/>
    <s v="Oregon"/>
    <x v="1"/>
    <x v="1"/>
    <s v="Microwave"/>
    <n v="594.51"/>
    <n v="10"/>
    <n v="0.3"/>
    <n v="252.66"/>
    <n v="0.42498864611192411"/>
  </r>
  <r>
    <s v="ORD-10491"/>
    <d v="2023-05-30T00:00:00"/>
    <d v="2023-06-06T00:00:00"/>
    <s v="C-9779"/>
    <s v="David Jones"/>
    <x v="1"/>
    <x v="2"/>
    <s v="Illinois"/>
    <x v="2"/>
    <x v="7"/>
    <s v="3-Shelf Bookcase"/>
    <n v="515.36"/>
    <n v="4"/>
    <n v="0"/>
    <n v="123.64"/>
    <n v="0.23990996584911517"/>
  </r>
  <r>
    <s v="ORD-10492"/>
    <d v="2022-09-29T00:00:00"/>
    <d v="2022-09-30T00:00:00"/>
    <s v="C-9700"/>
    <s v="Henry Martinez"/>
    <x v="0"/>
    <x v="2"/>
    <s v="Michigan"/>
    <x v="1"/>
    <x v="8"/>
    <s v="Ring Binder"/>
    <n v="91.04"/>
    <n v="10"/>
    <n v="0.15"/>
    <n v="34.75"/>
    <n v="0.38170035149384884"/>
  </r>
  <r>
    <s v="ORD-10493"/>
    <d v="2022-08-03T00:00:00"/>
    <d v="2022-08-06T00:00:00"/>
    <s v="C-9443"/>
    <s v="Henry Williams"/>
    <x v="1"/>
    <x v="0"/>
    <s v="Oregon"/>
    <x v="2"/>
    <x v="9"/>
    <s v="Whiteboard"/>
    <n v="642.16999999999996"/>
    <n v="9"/>
    <n v="0.2"/>
    <n v="224.39"/>
    <n v="0.34942460719124219"/>
  </r>
  <r>
    <s v="ORD-10494"/>
    <d v="2022-01-20T00:00:00"/>
    <d v="2022-01-26T00:00:00"/>
    <s v="C-1981"/>
    <s v="Iris Brown"/>
    <x v="0"/>
    <x v="1"/>
    <s v="Florida"/>
    <x v="1"/>
    <x v="1"/>
    <s v="Microwave"/>
    <n v="830.38"/>
    <n v="9"/>
    <n v="0.2"/>
    <n v="179.65"/>
    <n v="0.21634673282111805"/>
  </r>
  <r>
    <s v="ORD-10495"/>
    <d v="2023-01-09T00:00:00"/>
    <d v="2023-01-13T00:00:00"/>
    <s v="C-7757"/>
    <s v="Eve Jones"/>
    <x v="0"/>
    <x v="1"/>
    <s v="Pennsylvania"/>
    <x v="1"/>
    <x v="10"/>
    <s v="Storage Bin"/>
    <n v="382.48"/>
    <n v="7"/>
    <n v="0"/>
    <n v="111.5"/>
    <n v="0.29151851077180507"/>
  </r>
  <r>
    <s v="ORD-10496"/>
    <d v="2023-10-24T00:00:00"/>
    <d v="2023-10-26T00:00:00"/>
    <s v="C-8145"/>
    <s v="Grace Smith"/>
    <x v="2"/>
    <x v="2"/>
    <s v="Illinois"/>
    <x v="0"/>
    <x v="3"/>
    <s v="iPhone 13"/>
    <n v="1397.2"/>
    <n v="4"/>
    <n v="0.1"/>
    <n v="466.61"/>
    <n v="0.33396077870025764"/>
  </r>
  <r>
    <s v="ORD-10497"/>
    <d v="2022-07-26T00:00:00"/>
    <d v="2022-07-28T00:00:00"/>
    <s v="C-8960"/>
    <s v="Alice Smith"/>
    <x v="0"/>
    <x v="2"/>
    <s v="Illinois"/>
    <x v="2"/>
    <x v="7"/>
    <s v="Corner Bookcase"/>
    <n v="1003.5"/>
    <n v="9"/>
    <n v="0"/>
    <n v="209.78"/>
    <n v="0.20904833084205282"/>
  </r>
  <r>
    <s v="ORD-10498"/>
    <d v="2022-03-27T00:00:00"/>
    <d v="2022-03-30T00:00:00"/>
    <s v="C-9605"/>
    <s v="Eve Davis"/>
    <x v="2"/>
    <x v="2"/>
    <s v="Texas"/>
    <x v="2"/>
    <x v="11"/>
    <s v="Executive Chair"/>
    <n v="516.36"/>
    <n v="3"/>
    <n v="0"/>
    <n v="164.98"/>
    <n v="0.31950577116740259"/>
  </r>
  <r>
    <s v="ORD-10499"/>
    <d v="2022-04-03T00:00:00"/>
    <d v="2022-04-05T00:00:00"/>
    <s v="C-3869"/>
    <s v="David Jones"/>
    <x v="2"/>
    <x v="0"/>
    <s v="Oregon"/>
    <x v="1"/>
    <x v="1"/>
    <s v="Mini Fridge"/>
    <n v="458.81"/>
    <n v="4"/>
    <n v="0.05"/>
    <n v="189.92"/>
    <n v="0.41394041106340312"/>
  </r>
  <r>
    <s v="ORD-10500"/>
    <d v="2023-03-27T00:00:00"/>
    <d v="2023-03-31T00:00:00"/>
    <s v="C-5036"/>
    <s v="Eve Williams"/>
    <x v="2"/>
    <x v="2"/>
    <s v="Texas"/>
    <x v="1"/>
    <x v="10"/>
    <s v="Filing Cabinet"/>
    <n v="87.33"/>
    <n v="2"/>
    <n v="0.2"/>
    <n v="28.93"/>
    <n v="0.331272185961296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8" firstHeaderRow="0" firstDataRow="1" firstDataCol="1"/>
  <pivotFields count="16">
    <pivotField showAll="0"/>
    <pivotField numFmtId="164" showAll="0"/>
    <pivotField numFmtId="164" showAll="0"/>
    <pivotField showAll="0"/>
    <pivotField showAll="0"/>
    <pivotField showAll="0"/>
    <pivotField axis="axisRow" showAll="0">
      <items count="5">
        <item x="2"/>
        <item x="1"/>
        <item x="3"/>
        <item x="0"/>
        <item t="default"/>
      </items>
    </pivotField>
    <pivotField showAll="0"/>
    <pivotField showAll="0"/>
    <pivotField showAll="0"/>
    <pivotField showAll="0"/>
    <pivotField dataField="1" numFmtId="165" showAll="0"/>
    <pivotField showAll="0"/>
    <pivotField numFmtId="9" showAll="0"/>
    <pivotField dataField="1" numFmtId="165" showAll="0"/>
    <pivotField numFmtId="166" showAll="0"/>
  </pivotFields>
  <rowFields count="1">
    <field x="6"/>
  </rowFields>
  <rowItems count="5">
    <i>
      <x/>
    </i>
    <i>
      <x v="1"/>
    </i>
    <i>
      <x v="2"/>
    </i>
    <i>
      <x v="3"/>
    </i>
    <i t="grand">
      <x/>
    </i>
  </rowItems>
  <colFields count="1">
    <field x="-2"/>
  </colFields>
  <colItems count="2">
    <i>
      <x/>
    </i>
    <i i="1">
      <x v="1"/>
    </i>
  </colItems>
  <dataFields count="2">
    <dataField name="Sum of Sales" fld="11" baseField="6" baseItem="2" numFmtId="168"/>
    <dataField name="Sum of Profit" fld="14" baseField="6" baseItem="0" numFmtId="168"/>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0" firstDataRow="1" firstDataCol="1"/>
  <pivotFields count="16">
    <pivotField showAll="0"/>
    <pivotField numFmtId="164" showAll="0"/>
    <pivotField numFmtId="164" showAll="0"/>
    <pivotField showAll="0"/>
    <pivotField showAll="0"/>
    <pivotField showAll="0">
      <items count="4">
        <item h="1" x="0"/>
        <item h="1" x="2"/>
        <item x="1"/>
        <item t="default"/>
      </items>
    </pivotField>
    <pivotField showAll="0">
      <items count="5">
        <item x="2"/>
        <item h="1" x="1"/>
        <item h="1" x="3"/>
        <item h="1" x="0"/>
        <item t="default"/>
      </items>
    </pivotField>
    <pivotField showAll="0"/>
    <pivotField axis="axisRow" showAll="0">
      <items count="4">
        <item h="1" x="2"/>
        <item h="1" x="1"/>
        <item x="0"/>
        <item t="default"/>
      </items>
    </pivotField>
    <pivotField axis="axisRow" showAll="0">
      <items count="13">
        <item x="0"/>
        <item x="1"/>
        <item x="8"/>
        <item x="7"/>
        <item x="11"/>
        <item x="6"/>
        <item x="2"/>
        <item x="9"/>
        <item x="5"/>
        <item x="3"/>
        <item x="10"/>
        <item x="4"/>
        <item t="default"/>
      </items>
    </pivotField>
    <pivotField showAll="0"/>
    <pivotField dataField="1" numFmtId="165" showAll="0"/>
    <pivotField showAll="0"/>
    <pivotField dataField="1" numFmtId="9" showAll="0"/>
    <pivotField dataField="1" numFmtId="165" showAll="0"/>
    <pivotField numFmtId="166" showAll="0"/>
  </pivotFields>
  <rowFields count="2">
    <field x="8"/>
    <field x="9"/>
  </rowFields>
  <rowItems count="6">
    <i>
      <x v="2"/>
    </i>
    <i r="1">
      <x/>
    </i>
    <i r="1">
      <x v="5"/>
    </i>
    <i r="1">
      <x v="6"/>
    </i>
    <i r="1">
      <x v="9"/>
    </i>
    <i t="grand">
      <x/>
    </i>
  </rowItems>
  <colFields count="1">
    <field x="-2"/>
  </colFields>
  <colItems count="3">
    <i>
      <x/>
    </i>
    <i i="1">
      <x v="1"/>
    </i>
    <i i="2">
      <x v="2"/>
    </i>
  </colItems>
  <dataFields count="3">
    <dataField name="Sum of Sales" fld="11" baseField="0" baseItem="0"/>
    <dataField name="Sum of Profit" fld="14" baseField="0" baseItem="0"/>
    <dataField name="Sum of Disc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2"/>
  </pivotTables>
  <data>
    <tabular pivotCacheId="1">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4">
        <i x="2" s="1"/>
        <i x="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s>
  <data>
    <tabular pivotCacheId="1">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topLeftCell="D1" workbookViewId="0">
      <selection activeCell="A6" sqref="A3:C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44" t="s">
        <v>1231</v>
      </c>
      <c r="B3" s="45" t="s">
        <v>1233</v>
      </c>
      <c r="C3" s="45" t="s">
        <v>1234</v>
      </c>
    </row>
    <row r="4" spans="1:3" x14ac:dyDescent="0.25">
      <c r="A4" s="46" t="s">
        <v>43</v>
      </c>
      <c r="B4" s="47">
        <v>154825.38</v>
      </c>
      <c r="C4" s="47">
        <v>49271.05000000001</v>
      </c>
    </row>
    <row r="5" spans="1:3" x14ac:dyDescent="0.25">
      <c r="A5" s="46" t="s">
        <v>36</v>
      </c>
      <c r="B5" s="47">
        <v>129942.56999999993</v>
      </c>
      <c r="C5" s="47">
        <v>41922.269999999997</v>
      </c>
    </row>
    <row r="6" spans="1:3" x14ac:dyDescent="0.25">
      <c r="A6" s="46" t="s">
        <v>58</v>
      </c>
      <c r="B6" s="47">
        <v>141611.65</v>
      </c>
      <c r="C6" s="47">
        <v>47214.920000000006</v>
      </c>
    </row>
    <row r="7" spans="1:3" x14ac:dyDescent="0.25">
      <c r="A7" s="46" t="s">
        <v>20</v>
      </c>
      <c r="B7" s="47">
        <v>145519.69999999998</v>
      </c>
      <c r="C7" s="47">
        <v>49329.119999999995</v>
      </c>
    </row>
    <row r="8" spans="1:3" x14ac:dyDescent="0.25">
      <c r="A8" s="46" t="s">
        <v>1232</v>
      </c>
      <c r="B8" s="47">
        <v>571899.29999999993</v>
      </c>
      <c r="C8" s="47">
        <v>187737.36000000002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topLeftCell="D6" workbookViewId="0">
      <selection activeCell="N14" activeCellId="1" sqref="D13 N14"/>
    </sheetView>
  </sheetViews>
  <sheetFormatPr defaultRowHeight="15" x14ac:dyDescent="0.25"/>
  <cols>
    <col min="1" max="1" width="15" customWidth="1"/>
    <col min="2" max="2" width="12.140625" bestFit="1" customWidth="1"/>
    <col min="3" max="3" width="12.5703125" bestFit="1" customWidth="1"/>
    <col min="4" max="4" width="15.42578125" bestFit="1" customWidth="1"/>
  </cols>
  <sheetData>
    <row r="3" spans="1:4" x14ac:dyDescent="0.25">
      <c r="A3" s="41" t="s">
        <v>1231</v>
      </c>
      <c r="B3" t="s">
        <v>1233</v>
      </c>
      <c r="C3" t="s">
        <v>1234</v>
      </c>
      <c r="D3" t="s">
        <v>1235</v>
      </c>
    </row>
    <row r="4" spans="1:4" x14ac:dyDescent="0.25">
      <c r="A4" s="42" t="s">
        <v>22</v>
      </c>
      <c r="B4" s="43">
        <v>60714.119999999995</v>
      </c>
      <c r="C4" s="43">
        <v>18908.710000000003</v>
      </c>
      <c r="D4" s="43">
        <v>1.2000000000000002</v>
      </c>
    </row>
    <row r="5" spans="1:4" x14ac:dyDescent="0.25">
      <c r="A5" s="48" t="s">
        <v>23</v>
      </c>
      <c r="B5" s="43">
        <v>809.12999999999988</v>
      </c>
      <c r="C5" s="43">
        <v>250.43</v>
      </c>
      <c r="D5" s="43">
        <v>0.5</v>
      </c>
    </row>
    <row r="6" spans="1:4" x14ac:dyDescent="0.25">
      <c r="A6" s="48" t="s">
        <v>76</v>
      </c>
      <c r="B6" s="43">
        <v>43265.06</v>
      </c>
      <c r="C6" s="43">
        <v>13349.160000000002</v>
      </c>
      <c r="D6" s="43">
        <v>0</v>
      </c>
    </row>
    <row r="7" spans="1:4" x14ac:dyDescent="0.25">
      <c r="A7" s="48" t="s">
        <v>38</v>
      </c>
      <c r="B7" s="43">
        <v>5368.4</v>
      </c>
      <c r="C7" s="43">
        <v>1989.3</v>
      </c>
      <c r="D7" s="43">
        <v>0.3</v>
      </c>
    </row>
    <row r="8" spans="1:4" x14ac:dyDescent="0.25">
      <c r="A8" s="48" t="s">
        <v>45</v>
      </c>
      <c r="B8" s="43">
        <v>11271.529999999999</v>
      </c>
      <c r="C8" s="43">
        <v>3319.82</v>
      </c>
      <c r="D8" s="43">
        <v>0.4</v>
      </c>
    </row>
    <row r="9" spans="1:4" x14ac:dyDescent="0.25">
      <c r="A9" s="42" t="s">
        <v>1232</v>
      </c>
      <c r="B9" s="43">
        <v>60714.119999999995</v>
      </c>
      <c r="C9" s="43">
        <v>18908.710000000003</v>
      </c>
      <c r="D9" s="43">
        <v>1.2000000000000002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1"/>
  <sheetViews>
    <sheetView tabSelected="1" topLeftCell="K1" zoomScaleNormal="100" workbookViewId="0">
      <pane ySplit="1" topLeftCell="A2" activePane="bottomLeft" state="frozen"/>
      <selection pane="bottomLeft" activeCell="O1" sqref="O1:O1048576"/>
    </sheetView>
  </sheetViews>
  <sheetFormatPr defaultColWidth="8.7109375" defaultRowHeight="15" x14ac:dyDescent="0.25"/>
  <cols>
    <col min="1" max="1" width="10" style="6" customWidth="1"/>
    <col min="2" max="3" width="12" style="6" customWidth="1"/>
    <col min="4" max="4" width="10" style="6" customWidth="1"/>
    <col min="5" max="5" width="18" style="6" customWidth="1"/>
    <col min="6" max="6" width="12" style="6" customWidth="1"/>
    <col min="7" max="7" width="8" style="6" customWidth="1"/>
    <col min="8" max="8" width="16" style="6" customWidth="1"/>
    <col min="9" max="10" width="14" style="6" customWidth="1"/>
    <col min="11" max="11" width="22" style="6" customWidth="1"/>
    <col min="12" max="12" width="10" style="6" customWidth="1"/>
    <col min="13" max="13" width="8" style="6" customWidth="1"/>
    <col min="14" max="14" width="9" style="6" customWidth="1"/>
    <col min="15" max="15" width="10" style="6" customWidth="1"/>
    <col min="16" max="16" width="12" style="6" customWidth="1"/>
  </cols>
  <sheetData>
    <row r="1" spans="1:16" ht="21.75"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spans="1:16" ht="15" customHeight="1" x14ac:dyDescent="0.25">
      <c r="A2" s="8" t="s">
        <v>16</v>
      </c>
      <c r="B2" s="9">
        <v>45216</v>
      </c>
      <c r="C2" s="9">
        <v>45217</v>
      </c>
      <c r="D2" s="8" t="s">
        <v>17</v>
      </c>
      <c r="E2" s="8" t="s">
        <v>18</v>
      </c>
      <c r="F2" s="8" t="s">
        <v>19</v>
      </c>
      <c r="G2" s="8" t="s">
        <v>20</v>
      </c>
      <c r="H2" s="8" t="s">
        <v>21</v>
      </c>
      <c r="I2" s="8" t="s">
        <v>22</v>
      </c>
      <c r="J2" s="8" t="s">
        <v>23</v>
      </c>
      <c r="K2" s="8" t="s">
        <v>24</v>
      </c>
      <c r="L2" s="10">
        <v>80.819999999999993</v>
      </c>
      <c r="M2" s="8">
        <v>2</v>
      </c>
      <c r="N2" s="11">
        <v>0</v>
      </c>
      <c r="O2" s="10">
        <v>24.44</v>
      </c>
      <c r="P2" s="12">
        <f t="shared" ref="P2:P65" si="0">O2/L2</f>
        <v>0.30240039594159868</v>
      </c>
    </row>
    <row r="3" spans="1:16" ht="15" customHeight="1" x14ac:dyDescent="0.25">
      <c r="A3" s="13" t="s">
        <v>25</v>
      </c>
      <c r="B3" s="14">
        <v>44785</v>
      </c>
      <c r="C3" s="14">
        <v>44787</v>
      </c>
      <c r="D3" s="13" t="s">
        <v>26</v>
      </c>
      <c r="E3" s="13" t="s">
        <v>27</v>
      </c>
      <c r="F3" s="13" t="s">
        <v>28</v>
      </c>
      <c r="G3" s="13" t="s">
        <v>20</v>
      </c>
      <c r="H3" s="13" t="s">
        <v>29</v>
      </c>
      <c r="I3" s="13" t="s">
        <v>30</v>
      </c>
      <c r="J3" s="13" t="s">
        <v>31</v>
      </c>
      <c r="K3" s="13" t="s">
        <v>32</v>
      </c>
      <c r="L3" s="15">
        <v>847.52</v>
      </c>
      <c r="M3" s="13">
        <v>8</v>
      </c>
      <c r="N3" s="16">
        <v>0</v>
      </c>
      <c r="O3" s="15">
        <v>220.61</v>
      </c>
      <c r="P3" s="17">
        <f t="shared" si="0"/>
        <v>0.2603006418727582</v>
      </c>
    </row>
    <row r="4" spans="1:16" ht="15" customHeight="1" x14ac:dyDescent="0.25">
      <c r="A4" s="8" t="s">
        <v>33</v>
      </c>
      <c r="B4" s="9">
        <v>44846</v>
      </c>
      <c r="C4" s="9">
        <v>44848</v>
      </c>
      <c r="D4" s="8" t="s">
        <v>34</v>
      </c>
      <c r="E4" s="8" t="s">
        <v>35</v>
      </c>
      <c r="F4" s="8" t="s">
        <v>19</v>
      </c>
      <c r="G4" s="8" t="s">
        <v>36</v>
      </c>
      <c r="H4" s="8" t="s">
        <v>37</v>
      </c>
      <c r="I4" s="8" t="s">
        <v>22</v>
      </c>
      <c r="J4" s="8" t="s">
        <v>38</v>
      </c>
      <c r="K4" s="8" t="s">
        <v>39</v>
      </c>
      <c r="L4" s="10">
        <v>2127.8200000000002</v>
      </c>
      <c r="M4" s="8">
        <v>6</v>
      </c>
      <c r="N4" s="11">
        <v>0.1</v>
      </c>
      <c r="O4" s="10">
        <v>528.16</v>
      </c>
      <c r="P4" s="12">
        <f t="shared" si="0"/>
        <v>0.2482164844770704</v>
      </c>
    </row>
    <row r="5" spans="1:16" ht="15" customHeight="1" x14ac:dyDescent="0.25">
      <c r="A5" s="13" t="s">
        <v>40</v>
      </c>
      <c r="B5" s="14">
        <v>44949</v>
      </c>
      <c r="C5" s="14">
        <v>44950</v>
      </c>
      <c r="D5" s="13" t="s">
        <v>41</v>
      </c>
      <c r="E5" s="13" t="s">
        <v>42</v>
      </c>
      <c r="F5" s="13" t="s">
        <v>28</v>
      </c>
      <c r="G5" s="13" t="s">
        <v>43</v>
      </c>
      <c r="H5" s="13" t="s">
        <v>44</v>
      </c>
      <c r="I5" s="13" t="s">
        <v>22</v>
      </c>
      <c r="J5" s="13" t="s">
        <v>45</v>
      </c>
      <c r="K5" s="13" t="s">
        <v>46</v>
      </c>
      <c r="L5" s="15">
        <v>2156.1999999999998</v>
      </c>
      <c r="M5" s="13">
        <v>4</v>
      </c>
      <c r="N5" s="16">
        <v>0</v>
      </c>
      <c r="O5" s="15">
        <v>509.23</v>
      </c>
      <c r="P5" s="17">
        <f t="shared" si="0"/>
        <v>0.23617011408960212</v>
      </c>
    </row>
    <row r="6" spans="1:16" ht="15" customHeight="1" x14ac:dyDescent="0.25">
      <c r="A6" s="8" t="s">
        <v>47</v>
      </c>
      <c r="B6" s="9">
        <v>45026</v>
      </c>
      <c r="C6" s="9">
        <v>45032</v>
      </c>
      <c r="D6" s="8" t="s">
        <v>48</v>
      </c>
      <c r="E6" s="8" t="s">
        <v>49</v>
      </c>
      <c r="F6" s="8" t="s">
        <v>50</v>
      </c>
      <c r="G6" s="8" t="s">
        <v>43</v>
      </c>
      <c r="H6" s="8" t="s">
        <v>51</v>
      </c>
      <c r="I6" s="8" t="s">
        <v>52</v>
      </c>
      <c r="J6" s="8" t="s">
        <v>53</v>
      </c>
      <c r="K6" s="8" t="s">
        <v>54</v>
      </c>
      <c r="L6" s="10">
        <v>1457.25</v>
      </c>
      <c r="M6" s="8">
        <v>5</v>
      </c>
      <c r="N6" s="11">
        <v>0</v>
      </c>
      <c r="O6" s="10">
        <v>433.85</v>
      </c>
      <c r="P6" s="12">
        <f t="shared" si="0"/>
        <v>0.29771830502659119</v>
      </c>
    </row>
    <row r="7" spans="1:16" ht="15" customHeight="1" x14ac:dyDescent="0.25">
      <c r="A7" s="13" t="s">
        <v>55</v>
      </c>
      <c r="B7" s="14">
        <v>44729</v>
      </c>
      <c r="C7" s="14">
        <v>44733</v>
      </c>
      <c r="D7" s="13" t="s">
        <v>56</v>
      </c>
      <c r="E7" s="13" t="s">
        <v>57</v>
      </c>
      <c r="F7" s="13" t="s">
        <v>28</v>
      </c>
      <c r="G7" s="13" t="s">
        <v>58</v>
      </c>
      <c r="H7" s="13" t="s">
        <v>59</v>
      </c>
      <c r="I7" s="13" t="s">
        <v>30</v>
      </c>
      <c r="J7" s="13" t="s">
        <v>60</v>
      </c>
      <c r="K7" s="13" t="s">
        <v>61</v>
      </c>
      <c r="L7" s="15">
        <v>132.78</v>
      </c>
      <c r="M7" s="13">
        <v>6</v>
      </c>
      <c r="N7" s="16">
        <v>0</v>
      </c>
      <c r="O7" s="15">
        <v>52.15</v>
      </c>
      <c r="P7" s="17">
        <f t="shared" si="0"/>
        <v>0.39275493297183312</v>
      </c>
    </row>
    <row r="8" spans="1:16" ht="15" customHeight="1" x14ac:dyDescent="0.25">
      <c r="A8" s="8" t="s">
        <v>62</v>
      </c>
      <c r="B8" s="9">
        <v>44836</v>
      </c>
      <c r="C8" s="9">
        <v>44837</v>
      </c>
      <c r="D8" s="8" t="s">
        <v>63</v>
      </c>
      <c r="E8" s="8" t="s">
        <v>64</v>
      </c>
      <c r="F8" s="8" t="s">
        <v>19</v>
      </c>
      <c r="G8" s="8" t="s">
        <v>36</v>
      </c>
      <c r="H8" s="8" t="s">
        <v>37</v>
      </c>
      <c r="I8" s="8" t="s">
        <v>30</v>
      </c>
      <c r="J8" s="8" t="s">
        <v>31</v>
      </c>
      <c r="K8" s="8" t="s">
        <v>65</v>
      </c>
      <c r="L8" s="10">
        <v>694.88</v>
      </c>
      <c r="M8" s="8">
        <v>8</v>
      </c>
      <c r="N8" s="11">
        <v>0</v>
      </c>
      <c r="O8" s="10">
        <v>269.85000000000002</v>
      </c>
      <c r="P8" s="12">
        <f t="shared" si="0"/>
        <v>0.38834043288049741</v>
      </c>
    </row>
    <row r="9" spans="1:16" ht="15" customHeight="1" x14ac:dyDescent="0.25">
      <c r="A9" s="13" t="s">
        <v>66</v>
      </c>
      <c r="B9" s="14">
        <v>45159</v>
      </c>
      <c r="C9" s="14">
        <v>45163</v>
      </c>
      <c r="D9" s="13" t="s">
        <v>67</v>
      </c>
      <c r="E9" s="13" t="s">
        <v>68</v>
      </c>
      <c r="F9" s="13" t="s">
        <v>19</v>
      </c>
      <c r="G9" s="13" t="s">
        <v>43</v>
      </c>
      <c r="H9" s="13" t="s">
        <v>51</v>
      </c>
      <c r="I9" s="13" t="s">
        <v>30</v>
      </c>
      <c r="J9" s="13" t="s">
        <v>31</v>
      </c>
      <c r="K9" s="13" t="s">
        <v>32</v>
      </c>
      <c r="L9" s="15">
        <v>117.56</v>
      </c>
      <c r="M9" s="13">
        <v>1</v>
      </c>
      <c r="N9" s="16">
        <v>0</v>
      </c>
      <c r="O9" s="15">
        <v>34.46</v>
      </c>
      <c r="P9" s="17">
        <f t="shared" si="0"/>
        <v>0.29312691391629808</v>
      </c>
    </row>
    <row r="10" spans="1:16" ht="15" customHeight="1" x14ac:dyDescent="0.25">
      <c r="A10" s="8" t="s">
        <v>69</v>
      </c>
      <c r="B10" s="9">
        <v>44956</v>
      </c>
      <c r="C10" s="9">
        <v>44960</v>
      </c>
      <c r="D10" s="8" t="s">
        <v>70</v>
      </c>
      <c r="E10" s="8" t="s">
        <v>71</v>
      </c>
      <c r="F10" s="8" t="s">
        <v>28</v>
      </c>
      <c r="G10" s="8" t="s">
        <v>58</v>
      </c>
      <c r="H10" s="8" t="s">
        <v>59</v>
      </c>
      <c r="I10" s="8" t="s">
        <v>22</v>
      </c>
      <c r="J10" s="8" t="s">
        <v>45</v>
      </c>
      <c r="K10" s="8" t="s">
        <v>72</v>
      </c>
      <c r="L10" s="10">
        <v>4089.31</v>
      </c>
      <c r="M10" s="8">
        <v>9</v>
      </c>
      <c r="N10" s="11">
        <v>0.15</v>
      </c>
      <c r="O10" s="10">
        <v>1726.15</v>
      </c>
      <c r="P10" s="12">
        <f t="shared" si="0"/>
        <v>0.42211277697215427</v>
      </c>
    </row>
    <row r="11" spans="1:16" ht="15" customHeight="1" x14ac:dyDescent="0.25">
      <c r="A11" s="13" t="s">
        <v>73</v>
      </c>
      <c r="B11" s="14">
        <v>44565</v>
      </c>
      <c r="C11" s="14">
        <v>44571</v>
      </c>
      <c r="D11" s="13" t="s">
        <v>74</v>
      </c>
      <c r="E11" s="13" t="s">
        <v>75</v>
      </c>
      <c r="F11" s="13" t="s">
        <v>28</v>
      </c>
      <c r="G11" s="13" t="s">
        <v>43</v>
      </c>
      <c r="H11" s="13" t="s">
        <v>51</v>
      </c>
      <c r="I11" s="13" t="s">
        <v>22</v>
      </c>
      <c r="J11" s="13" t="s">
        <v>76</v>
      </c>
      <c r="K11" s="13" t="s">
        <v>77</v>
      </c>
      <c r="L11" s="15">
        <v>8598.8700000000008</v>
      </c>
      <c r="M11" s="13">
        <v>9</v>
      </c>
      <c r="N11" s="16">
        <v>0</v>
      </c>
      <c r="O11" s="15">
        <v>3065.68</v>
      </c>
      <c r="P11" s="17">
        <f t="shared" si="0"/>
        <v>0.35652126384048133</v>
      </c>
    </row>
    <row r="12" spans="1:16" ht="15" customHeight="1" x14ac:dyDescent="0.25">
      <c r="A12" s="8" t="s">
        <v>78</v>
      </c>
      <c r="B12" s="9">
        <v>45175</v>
      </c>
      <c r="C12" s="9">
        <v>45178</v>
      </c>
      <c r="D12" s="8" t="s">
        <v>79</v>
      </c>
      <c r="E12" s="8" t="s">
        <v>80</v>
      </c>
      <c r="F12" s="8" t="s">
        <v>19</v>
      </c>
      <c r="G12" s="8" t="s">
        <v>58</v>
      </c>
      <c r="H12" s="8" t="s">
        <v>81</v>
      </c>
      <c r="I12" s="8" t="s">
        <v>52</v>
      </c>
      <c r="J12" s="8" t="s">
        <v>82</v>
      </c>
      <c r="K12" s="8" t="s">
        <v>83</v>
      </c>
      <c r="L12" s="10">
        <v>115.01</v>
      </c>
      <c r="M12" s="8">
        <v>1</v>
      </c>
      <c r="N12" s="11">
        <v>0</v>
      </c>
      <c r="O12" s="10">
        <v>49.29</v>
      </c>
      <c r="P12" s="12">
        <f t="shared" si="0"/>
        <v>0.42857142857142855</v>
      </c>
    </row>
    <row r="13" spans="1:16" ht="15" customHeight="1" x14ac:dyDescent="0.25">
      <c r="A13" s="13" t="s">
        <v>84</v>
      </c>
      <c r="B13" s="14">
        <v>44693</v>
      </c>
      <c r="C13" s="14">
        <v>44699</v>
      </c>
      <c r="D13" s="13" t="s">
        <v>85</v>
      </c>
      <c r="E13" s="13" t="s">
        <v>86</v>
      </c>
      <c r="F13" s="13" t="s">
        <v>50</v>
      </c>
      <c r="G13" s="13" t="s">
        <v>58</v>
      </c>
      <c r="H13" s="13" t="s">
        <v>87</v>
      </c>
      <c r="I13" s="13" t="s">
        <v>30</v>
      </c>
      <c r="J13" s="13" t="s">
        <v>31</v>
      </c>
      <c r="K13" s="13" t="s">
        <v>32</v>
      </c>
      <c r="L13" s="15">
        <v>966.49</v>
      </c>
      <c r="M13" s="13">
        <v>9</v>
      </c>
      <c r="N13" s="16">
        <v>0.05</v>
      </c>
      <c r="O13" s="15">
        <v>262.66000000000003</v>
      </c>
      <c r="P13" s="17">
        <f t="shared" si="0"/>
        <v>0.27176690912477108</v>
      </c>
    </row>
    <row r="14" spans="1:16" ht="15" customHeight="1" x14ac:dyDescent="0.25">
      <c r="A14" s="8" t="s">
        <v>88</v>
      </c>
      <c r="B14" s="9">
        <v>45091</v>
      </c>
      <c r="C14" s="9">
        <v>45095</v>
      </c>
      <c r="D14" s="8" t="s">
        <v>89</v>
      </c>
      <c r="E14" s="8" t="s">
        <v>90</v>
      </c>
      <c r="F14" s="8" t="s">
        <v>19</v>
      </c>
      <c r="G14" s="8" t="s">
        <v>20</v>
      </c>
      <c r="H14" s="8" t="s">
        <v>29</v>
      </c>
      <c r="I14" s="8" t="s">
        <v>22</v>
      </c>
      <c r="J14" s="8" t="s">
        <v>76</v>
      </c>
      <c r="K14" s="8" t="s">
        <v>91</v>
      </c>
      <c r="L14" s="10">
        <v>8876.51</v>
      </c>
      <c r="M14" s="8">
        <v>10</v>
      </c>
      <c r="N14" s="11">
        <v>0.05</v>
      </c>
      <c r="O14" s="10">
        <v>3978.47</v>
      </c>
      <c r="P14" s="12">
        <f t="shared" si="0"/>
        <v>0.4482020523832001</v>
      </c>
    </row>
    <row r="15" spans="1:16" ht="15" customHeight="1" x14ac:dyDescent="0.25">
      <c r="A15" s="13" t="s">
        <v>92</v>
      </c>
      <c r="B15" s="14">
        <v>44594</v>
      </c>
      <c r="C15" s="14">
        <v>44601</v>
      </c>
      <c r="D15" s="13" t="s">
        <v>93</v>
      </c>
      <c r="E15" s="13" t="s">
        <v>94</v>
      </c>
      <c r="F15" s="13" t="s">
        <v>28</v>
      </c>
      <c r="G15" s="13" t="s">
        <v>43</v>
      </c>
      <c r="H15" s="13" t="s">
        <v>95</v>
      </c>
      <c r="I15" s="13" t="s">
        <v>22</v>
      </c>
      <c r="J15" s="13" t="s">
        <v>76</v>
      </c>
      <c r="K15" s="13" t="s">
        <v>77</v>
      </c>
      <c r="L15" s="15">
        <v>6435.6</v>
      </c>
      <c r="M15" s="13">
        <v>8</v>
      </c>
      <c r="N15" s="16">
        <v>0</v>
      </c>
      <c r="O15" s="15">
        <v>1732.22</v>
      </c>
      <c r="P15" s="17">
        <f t="shared" si="0"/>
        <v>0.26916216048231711</v>
      </c>
    </row>
    <row r="16" spans="1:16" ht="15" customHeight="1" x14ac:dyDescent="0.25">
      <c r="A16" s="8" t="s">
        <v>96</v>
      </c>
      <c r="B16" s="9">
        <v>44978</v>
      </c>
      <c r="C16" s="9">
        <v>44980</v>
      </c>
      <c r="D16" s="8" t="s">
        <v>97</v>
      </c>
      <c r="E16" s="8" t="s">
        <v>98</v>
      </c>
      <c r="F16" s="8" t="s">
        <v>28</v>
      </c>
      <c r="G16" s="8" t="s">
        <v>20</v>
      </c>
      <c r="H16" s="8" t="s">
        <v>99</v>
      </c>
      <c r="I16" s="8" t="s">
        <v>52</v>
      </c>
      <c r="J16" s="8" t="s">
        <v>82</v>
      </c>
      <c r="K16" s="8" t="s">
        <v>100</v>
      </c>
      <c r="L16" s="10">
        <v>890.54</v>
      </c>
      <c r="M16" s="8">
        <v>7</v>
      </c>
      <c r="N16" s="11">
        <v>0</v>
      </c>
      <c r="O16" s="10">
        <v>250.83</v>
      </c>
      <c r="P16" s="12">
        <f t="shared" si="0"/>
        <v>0.28166056549958457</v>
      </c>
    </row>
    <row r="17" spans="1:16" ht="15" customHeight="1" x14ac:dyDescent="0.25">
      <c r="A17" s="13" t="s">
        <v>101</v>
      </c>
      <c r="B17" s="14">
        <v>44909</v>
      </c>
      <c r="C17" s="14">
        <v>44916</v>
      </c>
      <c r="D17" s="13" t="s">
        <v>102</v>
      </c>
      <c r="E17" s="13" t="s">
        <v>103</v>
      </c>
      <c r="F17" s="13" t="s">
        <v>19</v>
      </c>
      <c r="G17" s="13" t="s">
        <v>20</v>
      </c>
      <c r="H17" s="13" t="s">
        <v>29</v>
      </c>
      <c r="I17" s="13" t="s">
        <v>22</v>
      </c>
      <c r="J17" s="13" t="s">
        <v>38</v>
      </c>
      <c r="K17" s="13" t="s">
        <v>39</v>
      </c>
      <c r="L17" s="15">
        <v>1462.26</v>
      </c>
      <c r="M17" s="13">
        <v>7</v>
      </c>
      <c r="N17" s="16">
        <v>0.3</v>
      </c>
      <c r="O17" s="15">
        <v>566.70000000000005</v>
      </c>
      <c r="P17" s="17">
        <f t="shared" si="0"/>
        <v>0.38755077756349765</v>
      </c>
    </row>
    <row r="18" spans="1:16" ht="15" customHeight="1" x14ac:dyDescent="0.25">
      <c r="A18" s="8" t="s">
        <v>104</v>
      </c>
      <c r="B18" s="9">
        <v>44613</v>
      </c>
      <c r="C18" s="9">
        <v>44619</v>
      </c>
      <c r="D18" s="8" t="s">
        <v>105</v>
      </c>
      <c r="E18" s="8" t="s">
        <v>106</v>
      </c>
      <c r="F18" s="8" t="s">
        <v>19</v>
      </c>
      <c r="G18" s="8" t="s">
        <v>20</v>
      </c>
      <c r="H18" s="8" t="s">
        <v>99</v>
      </c>
      <c r="I18" s="8" t="s">
        <v>22</v>
      </c>
      <c r="J18" s="8" t="s">
        <v>38</v>
      </c>
      <c r="K18" s="8" t="s">
        <v>107</v>
      </c>
      <c r="L18" s="10">
        <v>1937.79</v>
      </c>
      <c r="M18" s="8">
        <v>8</v>
      </c>
      <c r="N18" s="11">
        <v>0.2</v>
      </c>
      <c r="O18" s="10">
        <v>434.82</v>
      </c>
      <c r="P18" s="12">
        <f t="shared" si="0"/>
        <v>0.22438963974424472</v>
      </c>
    </row>
    <row r="19" spans="1:16" ht="15" customHeight="1" x14ac:dyDescent="0.25">
      <c r="A19" s="13" t="s">
        <v>108</v>
      </c>
      <c r="B19" s="14">
        <v>44961</v>
      </c>
      <c r="C19" s="14">
        <v>44964</v>
      </c>
      <c r="D19" s="13" t="s">
        <v>109</v>
      </c>
      <c r="E19" s="13" t="s">
        <v>110</v>
      </c>
      <c r="F19" s="13" t="s">
        <v>50</v>
      </c>
      <c r="G19" s="13" t="s">
        <v>58</v>
      </c>
      <c r="H19" s="13" t="s">
        <v>59</v>
      </c>
      <c r="I19" s="13" t="s">
        <v>30</v>
      </c>
      <c r="J19" s="13" t="s">
        <v>31</v>
      </c>
      <c r="K19" s="13" t="s">
        <v>32</v>
      </c>
      <c r="L19" s="15">
        <v>373.72</v>
      </c>
      <c r="M19" s="13">
        <v>4</v>
      </c>
      <c r="N19" s="16">
        <v>0</v>
      </c>
      <c r="O19" s="15">
        <v>114.06</v>
      </c>
      <c r="P19" s="17">
        <f t="shared" si="0"/>
        <v>0.30520175532484212</v>
      </c>
    </row>
    <row r="20" spans="1:16" ht="15" customHeight="1" x14ac:dyDescent="0.25">
      <c r="A20" s="8" t="s">
        <v>111</v>
      </c>
      <c r="B20" s="9">
        <v>44620</v>
      </c>
      <c r="C20" s="9">
        <v>44621</v>
      </c>
      <c r="D20" s="8" t="s">
        <v>112</v>
      </c>
      <c r="E20" s="8" t="s">
        <v>113</v>
      </c>
      <c r="F20" s="8" t="s">
        <v>19</v>
      </c>
      <c r="G20" s="8" t="s">
        <v>58</v>
      </c>
      <c r="H20" s="8" t="s">
        <v>87</v>
      </c>
      <c r="I20" s="8" t="s">
        <v>30</v>
      </c>
      <c r="J20" s="8" t="s">
        <v>114</v>
      </c>
      <c r="K20" s="8" t="s">
        <v>115</v>
      </c>
      <c r="L20" s="10">
        <v>25.48</v>
      </c>
      <c r="M20" s="8">
        <v>2</v>
      </c>
      <c r="N20" s="11">
        <v>0.05</v>
      </c>
      <c r="O20" s="10">
        <v>8.89</v>
      </c>
      <c r="P20" s="12">
        <f t="shared" si="0"/>
        <v>0.34890109890109894</v>
      </c>
    </row>
    <row r="21" spans="1:16" ht="15" customHeight="1" x14ac:dyDescent="0.25">
      <c r="A21" s="13" t="s">
        <v>116</v>
      </c>
      <c r="B21" s="14">
        <v>45196</v>
      </c>
      <c r="C21" s="14">
        <v>45197</v>
      </c>
      <c r="D21" s="13" t="s">
        <v>117</v>
      </c>
      <c r="E21" s="13" t="s">
        <v>118</v>
      </c>
      <c r="F21" s="13" t="s">
        <v>50</v>
      </c>
      <c r="G21" s="13" t="s">
        <v>58</v>
      </c>
      <c r="H21" s="13" t="s">
        <v>59</v>
      </c>
      <c r="I21" s="13" t="s">
        <v>22</v>
      </c>
      <c r="J21" s="13" t="s">
        <v>76</v>
      </c>
      <c r="K21" s="13" t="s">
        <v>91</v>
      </c>
      <c r="L21" s="15">
        <v>3932.51</v>
      </c>
      <c r="M21" s="13">
        <v>5</v>
      </c>
      <c r="N21" s="16">
        <v>0.1</v>
      </c>
      <c r="O21" s="15">
        <v>1320.12</v>
      </c>
      <c r="P21" s="17">
        <f t="shared" si="0"/>
        <v>0.33569399696377117</v>
      </c>
    </row>
    <row r="22" spans="1:16" ht="15" customHeight="1" x14ac:dyDescent="0.25">
      <c r="A22" s="8" t="s">
        <v>119</v>
      </c>
      <c r="B22" s="9">
        <v>45198</v>
      </c>
      <c r="C22" s="9">
        <v>45203</v>
      </c>
      <c r="D22" s="8" t="s">
        <v>120</v>
      </c>
      <c r="E22" s="8" t="s">
        <v>121</v>
      </c>
      <c r="F22" s="8" t="s">
        <v>28</v>
      </c>
      <c r="G22" s="8" t="s">
        <v>20</v>
      </c>
      <c r="H22" s="8" t="s">
        <v>99</v>
      </c>
      <c r="I22" s="8" t="s">
        <v>22</v>
      </c>
      <c r="J22" s="8" t="s">
        <v>76</v>
      </c>
      <c r="K22" s="8" t="s">
        <v>91</v>
      </c>
      <c r="L22" s="10">
        <v>6038.75</v>
      </c>
      <c r="M22" s="8">
        <v>6</v>
      </c>
      <c r="N22" s="11">
        <v>0.05</v>
      </c>
      <c r="O22" s="10">
        <v>2159.5700000000002</v>
      </c>
      <c r="P22" s="12">
        <f t="shared" si="0"/>
        <v>0.35761871248188781</v>
      </c>
    </row>
    <row r="23" spans="1:16" ht="15" customHeight="1" x14ac:dyDescent="0.25">
      <c r="A23" s="13" t="s">
        <v>122</v>
      </c>
      <c r="B23" s="14">
        <v>45188</v>
      </c>
      <c r="C23" s="14">
        <v>45195</v>
      </c>
      <c r="D23" s="13" t="s">
        <v>123</v>
      </c>
      <c r="E23" s="13" t="s">
        <v>124</v>
      </c>
      <c r="F23" s="13" t="s">
        <v>28</v>
      </c>
      <c r="G23" s="13" t="s">
        <v>20</v>
      </c>
      <c r="H23" s="13" t="s">
        <v>21</v>
      </c>
      <c r="I23" s="13" t="s">
        <v>22</v>
      </c>
      <c r="J23" s="13" t="s">
        <v>23</v>
      </c>
      <c r="K23" s="13" t="s">
        <v>125</v>
      </c>
      <c r="L23" s="15">
        <v>87.52</v>
      </c>
      <c r="M23" s="13">
        <v>2</v>
      </c>
      <c r="N23" s="16">
        <v>0</v>
      </c>
      <c r="O23" s="15">
        <v>33.43</v>
      </c>
      <c r="P23" s="17">
        <f t="shared" si="0"/>
        <v>0.38196983546617919</v>
      </c>
    </row>
    <row r="24" spans="1:16" ht="15" customHeight="1" x14ac:dyDescent="0.25">
      <c r="A24" s="8" t="s">
        <v>126</v>
      </c>
      <c r="B24" s="9">
        <v>45265</v>
      </c>
      <c r="C24" s="9">
        <v>45271</v>
      </c>
      <c r="D24" s="8" t="s">
        <v>127</v>
      </c>
      <c r="E24" s="8" t="s">
        <v>128</v>
      </c>
      <c r="F24" s="8" t="s">
        <v>50</v>
      </c>
      <c r="G24" s="8" t="s">
        <v>43</v>
      </c>
      <c r="H24" s="8" t="s">
        <v>129</v>
      </c>
      <c r="I24" s="8" t="s">
        <v>22</v>
      </c>
      <c r="J24" s="8" t="s">
        <v>45</v>
      </c>
      <c r="K24" s="8" t="s">
        <v>72</v>
      </c>
      <c r="L24" s="10">
        <v>3853.08</v>
      </c>
      <c r="M24" s="8">
        <v>7</v>
      </c>
      <c r="N24" s="11">
        <v>0</v>
      </c>
      <c r="O24" s="10">
        <v>1730.47</v>
      </c>
      <c r="P24" s="12">
        <f t="shared" si="0"/>
        <v>0.44911343652350849</v>
      </c>
    </row>
    <row r="25" spans="1:16" ht="15" customHeight="1" x14ac:dyDescent="0.25">
      <c r="A25" s="13" t="s">
        <v>130</v>
      </c>
      <c r="B25" s="14">
        <v>45014</v>
      </c>
      <c r="C25" s="14">
        <v>45019</v>
      </c>
      <c r="D25" s="13" t="s">
        <v>131</v>
      </c>
      <c r="E25" s="13" t="s">
        <v>132</v>
      </c>
      <c r="F25" s="13" t="s">
        <v>19</v>
      </c>
      <c r="G25" s="13" t="s">
        <v>58</v>
      </c>
      <c r="H25" s="13" t="s">
        <v>81</v>
      </c>
      <c r="I25" s="13" t="s">
        <v>22</v>
      </c>
      <c r="J25" s="13" t="s">
        <v>23</v>
      </c>
      <c r="K25" s="13" t="s">
        <v>24</v>
      </c>
      <c r="L25" s="15">
        <v>42.89</v>
      </c>
      <c r="M25" s="13">
        <v>1</v>
      </c>
      <c r="N25" s="16">
        <v>0</v>
      </c>
      <c r="O25" s="15">
        <v>14.69</v>
      </c>
      <c r="P25" s="17">
        <f t="shared" si="0"/>
        <v>0.34250408020517603</v>
      </c>
    </row>
    <row r="26" spans="1:16" ht="15" customHeight="1" x14ac:dyDescent="0.25">
      <c r="A26" s="8" t="s">
        <v>133</v>
      </c>
      <c r="B26" s="9">
        <v>44602</v>
      </c>
      <c r="C26" s="9">
        <v>44605</v>
      </c>
      <c r="D26" s="8" t="s">
        <v>134</v>
      </c>
      <c r="E26" s="8" t="s">
        <v>135</v>
      </c>
      <c r="F26" s="8" t="s">
        <v>28</v>
      </c>
      <c r="G26" s="8" t="s">
        <v>36</v>
      </c>
      <c r="H26" s="8" t="s">
        <v>136</v>
      </c>
      <c r="I26" s="8" t="s">
        <v>22</v>
      </c>
      <c r="J26" s="8" t="s">
        <v>76</v>
      </c>
      <c r="K26" s="8" t="s">
        <v>77</v>
      </c>
      <c r="L26" s="10">
        <v>7664.93</v>
      </c>
      <c r="M26" s="8">
        <v>7</v>
      </c>
      <c r="N26" s="11">
        <v>0</v>
      </c>
      <c r="O26" s="10">
        <v>1675.24</v>
      </c>
      <c r="P26" s="12">
        <f t="shared" si="0"/>
        <v>0.21855907359884563</v>
      </c>
    </row>
    <row r="27" spans="1:16" ht="15" customHeight="1" x14ac:dyDescent="0.25">
      <c r="A27" s="13" t="s">
        <v>137</v>
      </c>
      <c r="B27" s="14">
        <v>44984</v>
      </c>
      <c r="C27" s="14">
        <v>44985</v>
      </c>
      <c r="D27" s="13" t="s">
        <v>138</v>
      </c>
      <c r="E27" s="13" t="s">
        <v>139</v>
      </c>
      <c r="F27" s="13" t="s">
        <v>50</v>
      </c>
      <c r="G27" s="13" t="s">
        <v>36</v>
      </c>
      <c r="H27" s="13" t="s">
        <v>37</v>
      </c>
      <c r="I27" s="13" t="s">
        <v>30</v>
      </c>
      <c r="J27" s="13" t="s">
        <v>60</v>
      </c>
      <c r="K27" s="13" t="s">
        <v>140</v>
      </c>
      <c r="L27" s="15">
        <v>65.040000000000006</v>
      </c>
      <c r="M27" s="13">
        <v>3</v>
      </c>
      <c r="N27" s="16">
        <v>0</v>
      </c>
      <c r="O27" s="15">
        <v>23.05</v>
      </c>
      <c r="P27" s="17">
        <f t="shared" si="0"/>
        <v>0.35439729397293973</v>
      </c>
    </row>
    <row r="28" spans="1:16" ht="15" customHeight="1" x14ac:dyDescent="0.25">
      <c r="A28" s="8" t="s">
        <v>141</v>
      </c>
      <c r="B28" s="9">
        <v>44766</v>
      </c>
      <c r="C28" s="9">
        <v>44773</v>
      </c>
      <c r="D28" s="8" t="s">
        <v>142</v>
      </c>
      <c r="E28" s="8" t="s">
        <v>57</v>
      </c>
      <c r="F28" s="8" t="s">
        <v>50</v>
      </c>
      <c r="G28" s="8" t="s">
        <v>58</v>
      </c>
      <c r="H28" s="8" t="s">
        <v>59</v>
      </c>
      <c r="I28" s="8" t="s">
        <v>22</v>
      </c>
      <c r="J28" s="8" t="s">
        <v>23</v>
      </c>
      <c r="K28" s="8" t="s">
        <v>143</v>
      </c>
      <c r="L28" s="10">
        <v>129.71</v>
      </c>
      <c r="M28" s="8">
        <v>4</v>
      </c>
      <c r="N28" s="11">
        <v>0.1</v>
      </c>
      <c r="O28" s="10">
        <v>30.34</v>
      </c>
      <c r="P28" s="12">
        <f t="shared" si="0"/>
        <v>0.23390640659933698</v>
      </c>
    </row>
    <row r="29" spans="1:16" ht="15" customHeight="1" x14ac:dyDescent="0.25">
      <c r="A29" s="13" t="s">
        <v>144</v>
      </c>
      <c r="B29" s="14">
        <v>45257</v>
      </c>
      <c r="C29" s="14">
        <v>45264</v>
      </c>
      <c r="D29" s="13" t="s">
        <v>145</v>
      </c>
      <c r="E29" s="13" t="s">
        <v>146</v>
      </c>
      <c r="F29" s="13" t="s">
        <v>19</v>
      </c>
      <c r="G29" s="13" t="s">
        <v>43</v>
      </c>
      <c r="H29" s="13" t="s">
        <v>95</v>
      </c>
      <c r="I29" s="13" t="s">
        <v>52</v>
      </c>
      <c r="J29" s="13" t="s">
        <v>53</v>
      </c>
      <c r="K29" s="13" t="s">
        <v>54</v>
      </c>
      <c r="L29" s="15">
        <v>867.2</v>
      </c>
      <c r="M29" s="13">
        <v>5</v>
      </c>
      <c r="N29" s="16">
        <v>0.2</v>
      </c>
      <c r="O29" s="15">
        <v>315.3</v>
      </c>
      <c r="P29" s="17">
        <f t="shared" si="0"/>
        <v>0.36358394833948338</v>
      </c>
    </row>
    <row r="30" spans="1:16" ht="15" customHeight="1" x14ac:dyDescent="0.25">
      <c r="A30" s="8" t="s">
        <v>147</v>
      </c>
      <c r="B30" s="9">
        <v>44956</v>
      </c>
      <c r="C30" s="9">
        <v>44961</v>
      </c>
      <c r="D30" s="8" t="s">
        <v>148</v>
      </c>
      <c r="E30" s="8" t="s">
        <v>149</v>
      </c>
      <c r="F30" s="8" t="s">
        <v>19</v>
      </c>
      <c r="G30" s="8" t="s">
        <v>36</v>
      </c>
      <c r="H30" s="8" t="s">
        <v>37</v>
      </c>
      <c r="I30" s="8" t="s">
        <v>30</v>
      </c>
      <c r="J30" s="8" t="s">
        <v>31</v>
      </c>
      <c r="K30" s="8" t="s">
        <v>32</v>
      </c>
      <c r="L30" s="10">
        <v>1028.74</v>
      </c>
      <c r="M30" s="8">
        <v>9</v>
      </c>
      <c r="N30" s="11">
        <v>0.05</v>
      </c>
      <c r="O30" s="10">
        <v>369.26</v>
      </c>
      <c r="P30" s="12">
        <f t="shared" si="0"/>
        <v>0.35894395085249914</v>
      </c>
    </row>
    <row r="31" spans="1:16" ht="15" customHeight="1" x14ac:dyDescent="0.25">
      <c r="A31" s="13" t="s">
        <v>150</v>
      </c>
      <c r="B31" s="14">
        <v>45241</v>
      </c>
      <c r="C31" s="14">
        <v>45248</v>
      </c>
      <c r="D31" s="13" t="s">
        <v>151</v>
      </c>
      <c r="E31" s="13" t="s">
        <v>152</v>
      </c>
      <c r="F31" s="13" t="s">
        <v>28</v>
      </c>
      <c r="G31" s="13" t="s">
        <v>20</v>
      </c>
      <c r="H31" s="13" t="s">
        <v>21</v>
      </c>
      <c r="I31" s="13" t="s">
        <v>52</v>
      </c>
      <c r="J31" s="13" t="s">
        <v>153</v>
      </c>
      <c r="K31" s="13" t="s">
        <v>154</v>
      </c>
      <c r="L31" s="15">
        <v>733.18</v>
      </c>
      <c r="M31" s="13">
        <v>7</v>
      </c>
      <c r="N31" s="16">
        <v>0</v>
      </c>
      <c r="O31" s="15">
        <v>294.77</v>
      </c>
      <c r="P31" s="17">
        <f t="shared" si="0"/>
        <v>0.40204315447775446</v>
      </c>
    </row>
    <row r="32" spans="1:16" ht="15" customHeight="1" x14ac:dyDescent="0.25">
      <c r="A32" s="8" t="s">
        <v>155</v>
      </c>
      <c r="B32" s="9">
        <v>44977</v>
      </c>
      <c r="C32" s="9">
        <v>44982</v>
      </c>
      <c r="D32" s="8" t="s">
        <v>156</v>
      </c>
      <c r="E32" s="8" t="s">
        <v>157</v>
      </c>
      <c r="F32" s="8" t="s">
        <v>50</v>
      </c>
      <c r="G32" s="8" t="s">
        <v>20</v>
      </c>
      <c r="H32" s="8" t="s">
        <v>21</v>
      </c>
      <c r="I32" s="8" t="s">
        <v>22</v>
      </c>
      <c r="J32" s="8" t="s">
        <v>38</v>
      </c>
      <c r="K32" s="8" t="s">
        <v>158</v>
      </c>
      <c r="L32" s="10">
        <v>2563.96</v>
      </c>
      <c r="M32" s="8">
        <v>10</v>
      </c>
      <c r="N32" s="11">
        <v>0.3</v>
      </c>
      <c r="O32" s="10">
        <v>870.6</v>
      </c>
      <c r="P32" s="12">
        <f t="shared" si="0"/>
        <v>0.3395528791400802</v>
      </c>
    </row>
    <row r="33" spans="1:16" ht="15" customHeight="1" x14ac:dyDescent="0.25">
      <c r="A33" s="13" t="s">
        <v>159</v>
      </c>
      <c r="B33" s="14">
        <v>44735</v>
      </c>
      <c r="C33" s="14">
        <v>44741</v>
      </c>
      <c r="D33" s="13" t="s">
        <v>160</v>
      </c>
      <c r="E33" s="13" t="s">
        <v>161</v>
      </c>
      <c r="F33" s="13" t="s">
        <v>28</v>
      </c>
      <c r="G33" s="13" t="s">
        <v>20</v>
      </c>
      <c r="H33" s="13" t="s">
        <v>21</v>
      </c>
      <c r="I33" s="13" t="s">
        <v>30</v>
      </c>
      <c r="J33" s="13" t="s">
        <v>162</v>
      </c>
      <c r="K33" s="13" t="s">
        <v>163</v>
      </c>
      <c r="L33" s="15">
        <v>240.92</v>
      </c>
      <c r="M33" s="13">
        <v>4</v>
      </c>
      <c r="N33" s="16">
        <v>0.05</v>
      </c>
      <c r="O33" s="15">
        <v>59.83</v>
      </c>
      <c r="P33" s="17">
        <f t="shared" si="0"/>
        <v>0.24833969782500415</v>
      </c>
    </row>
    <row r="34" spans="1:16" ht="15" customHeight="1" x14ac:dyDescent="0.25">
      <c r="A34" s="8" t="s">
        <v>164</v>
      </c>
      <c r="B34" s="9">
        <v>44812</v>
      </c>
      <c r="C34" s="9">
        <v>44816</v>
      </c>
      <c r="D34" s="8" t="s">
        <v>165</v>
      </c>
      <c r="E34" s="8" t="s">
        <v>166</v>
      </c>
      <c r="F34" s="8" t="s">
        <v>50</v>
      </c>
      <c r="G34" s="8" t="s">
        <v>20</v>
      </c>
      <c r="H34" s="8" t="s">
        <v>167</v>
      </c>
      <c r="I34" s="8" t="s">
        <v>30</v>
      </c>
      <c r="J34" s="8" t="s">
        <v>60</v>
      </c>
      <c r="K34" s="8" t="s">
        <v>61</v>
      </c>
      <c r="L34" s="10">
        <v>128.34</v>
      </c>
      <c r="M34" s="8">
        <v>7</v>
      </c>
      <c r="N34" s="11">
        <v>0.05</v>
      </c>
      <c r="O34" s="10">
        <v>53.02</v>
      </c>
      <c r="P34" s="12">
        <f t="shared" si="0"/>
        <v>0.41312139629110178</v>
      </c>
    </row>
    <row r="35" spans="1:16" ht="15" customHeight="1" x14ac:dyDescent="0.25">
      <c r="A35" s="13" t="s">
        <v>168</v>
      </c>
      <c r="B35" s="14">
        <v>44786</v>
      </c>
      <c r="C35" s="14">
        <v>44788</v>
      </c>
      <c r="D35" s="13" t="s">
        <v>169</v>
      </c>
      <c r="E35" s="13" t="s">
        <v>170</v>
      </c>
      <c r="F35" s="13" t="s">
        <v>28</v>
      </c>
      <c r="G35" s="13" t="s">
        <v>58</v>
      </c>
      <c r="H35" s="13" t="s">
        <v>81</v>
      </c>
      <c r="I35" s="13" t="s">
        <v>22</v>
      </c>
      <c r="J35" s="13" t="s">
        <v>45</v>
      </c>
      <c r="K35" s="13" t="s">
        <v>171</v>
      </c>
      <c r="L35" s="15">
        <v>1389.21</v>
      </c>
      <c r="M35" s="13">
        <v>3</v>
      </c>
      <c r="N35" s="16">
        <v>0.15</v>
      </c>
      <c r="O35" s="15">
        <v>295.19</v>
      </c>
      <c r="P35" s="17">
        <f t="shared" si="0"/>
        <v>0.21248767285003706</v>
      </c>
    </row>
    <row r="36" spans="1:16" ht="15" customHeight="1" x14ac:dyDescent="0.25">
      <c r="A36" s="8" t="s">
        <v>172</v>
      </c>
      <c r="B36" s="9">
        <v>45123</v>
      </c>
      <c r="C36" s="9">
        <v>45127</v>
      </c>
      <c r="D36" s="8" t="s">
        <v>173</v>
      </c>
      <c r="E36" s="8" t="s">
        <v>103</v>
      </c>
      <c r="F36" s="8" t="s">
        <v>50</v>
      </c>
      <c r="G36" s="8" t="s">
        <v>36</v>
      </c>
      <c r="H36" s="8" t="s">
        <v>174</v>
      </c>
      <c r="I36" s="8" t="s">
        <v>52</v>
      </c>
      <c r="J36" s="8" t="s">
        <v>53</v>
      </c>
      <c r="K36" s="8" t="s">
        <v>54</v>
      </c>
      <c r="L36" s="10">
        <v>1045.27</v>
      </c>
      <c r="M36" s="8">
        <v>5</v>
      </c>
      <c r="N36" s="11">
        <v>0.3</v>
      </c>
      <c r="O36" s="10">
        <v>306.58999999999997</v>
      </c>
      <c r="P36" s="12">
        <f t="shared" si="0"/>
        <v>0.29331177590479013</v>
      </c>
    </row>
    <row r="37" spans="1:16" ht="15" customHeight="1" x14ac:dyDescent="0.25">
      <c r="A37" s="13" t="s">
        <v>175</v>
      </c>
      <c r="B37" s="14">
        <v>44854</v>
      </c>
      <c r="C37" s="14">
        <v>44856</v>
      </c>
      <c r="D37" s="13" t="s">
        <v>176</v>
      </c>
      <c r="E37" s="13" t="s">
        <v>177</v>
      </c>
      <c r="F37" s="13" t="s">
        <v>50</v>
      </c>
      <c r="G37" s="13" t="s">
        <v>43</v>
      </c>
      <c r="H37" s="13" t="s">
        <v>44</v>
      </c>
      <c r="I37" s="13" t="s">
        <v>30</v>
      </c>
      <c r="J37" s="13" t="s">
        <v>114</v>
      </c>
      <c r="K37" s="13" t="s">
        <v>115</v>
      </c>
      <c r="L37" s="15">
        <v>34.35</v>
      </c>
      <c r="M37" s="13">
        <v>3</v>
      </c>
      <c r="N37" s="16">
        <v>0</v>
      </c>
      <c r="O37" s="15">
        <v>9.39</v>
      </c>
      <c r="P37" s="17">
        <f t="shared" si="0"/>
        <v>0.27336244541484717</v>
      </c>
    </row>
    <row r="38" spans="1:16" ht="15" customHeight="1" x14ac:dyDescent="0.25">
      <c r="A38" s="8" t="s">
        <v>178</v>
      </c>
      <c r="B38" s="9">
        <v>44900</v>
      </c>
      <c r="C38" s="9">
        <v>44905</v>
      </c>
      <c r="D38" s="8" t="s">
        <v>179</v>
      </c>
      <c r="E38" s="8" t="s">
        <v>180</v>
      </c>
      <c r="F38" s="8" t="s">
        <v>19</v>
      </c>
      <c r="G38" s="8" t="s">
        <v>58</v>
      </c>
      <c r="H38" s="8" t="s">
        <v>181</v>
      </c>
      <c r="I38" s="8" t="s">
        <v>22</v>
      </c>
      <c r="J38" s="8" t="s">
        <v>38</v>
      </c>
      <c r="K38" s="8" t="s">
        <v>107</v>
      </c>
      <c r="L38" s="10">
        <v>4082.3</v>
      </c>
      <c r="M38" s="8">
        <v>10</v>
      </c>
      <c r="N38" s="11">
        <v>0</v>
      </c>
      <c r="O38" s="10">
        <v>962.68</v>
      </c>
      <c r="P38" s="12">
        <f t="shared" si="0"/>
        <v>0.23581804374984688</v>
      </c>
    </row>
    <row r="39" spans="1:16" ht="15" customHeight="1" x14ac:dyDescent="0.25">
      <c r="A39" s="13" t="s">
        <v>182</v>
      </c>
      <c r="B39" s="14">
        <v>44922</v>
      </c>
      <c r="C39" s="14">
        <v>44925</v>
      </c>
      <c r="D39" s="13" t="s">
        <v>183</v>
      </c>
      <c r="E39" s="13" t="s">
        <v>184</v>
      </c>
      <c r="F39" s="13" t="s">
        <v>28</v>
      </c>
      <c r="G39" s="13" t="s">
        <v>58</v>
      </c>
      <c r="H39" s="13" t="s">
        <v>181</v>
      </c>
      <c r="I39" s="13" t="s">
        <v>30</v>
      </c>
      <c r="J39" s="13" t="s">
        <v>60</v>
      </c>
      <c r="K39" s="13" t="s">
        <v>140</v>
      </c>
      <c r="L39" s="15">
        <v>49.03</v>
      </c>
      <c r="M39" s="13">
        <v>4</v>
      </c>
      <c r="N39" s="16">
        <v>0.3</v>
      </c>
      <c r="O39" s="15">
        <v>21.71</v>
      </c>
      <c r="P39" s="17">
        <f t="shared" si="0"/>
        <v>0.44279012849275956</v>
      </c>
    </row>
    <row r="40" spans="1:16" ht="15" customHeight="1" x14ac:dyDescent="0.25">
      <c r="A40" s="8" t="s">
        <v>185</v>
      </c>
      <c r="B40" s="9">
        <v>45040</v>
      </c>
      <c r="C40" s="9">
        <v>45042</v>
      </c>
      <c r="D40" s="8" t="s">
        <v>186</v>
      </c>
      <c r="E40" s="8" t="s">
        <v>27</v>
      </c>
      <c r="F40" s="8" t="s">
        <v>28</v>
      </c>
      <c r="G40" s="8" t="s">
        <v>20</v>
      </c>
      <c r="H40" s="8" t="s">
        <v>167</v>
      </c>
      <c r="I40" s="8" t="s">
        <v>30</v>
      </c>
      <c r="J40" s="8" t="s">
        <v>114</v>
      </c>
      <c r="K40" s="8" t="s">
        <v>115</v>
      </c>
      <c r="L40" s="10">
        <v>53.56</v>
      </c>
      <c r="M40" s="8">
        <v>7</v>
      </c>
      <c r="N40" s="11">
        <v>0.3</v>
      </c>
      <c r="O40" s="10">
        <v>21.67</v>
      </c>
      <c r="P40" s="12">
        <f t="shared" si="0"/>
        <v>0.40459297983569831</v>
      </c>
    </row>
    <row r="41" spans="1:16" ht="15" customHeight="1" x14ac:dyDescent="0.25">
      <c r="A41" s="13" t="s">
        <v>187</v>
      </c>
      <c r="B41" s="14">
        <v>44778</v>
      </c>
      <c r="C41" s="14">
        <v>44782</v>
      </c>
      <c r="D41" s="13" t="s">
        <v>188</v>
      </c>
      <c r="E41" s="13" t="s">
        <v>90</v>
      </c>
      <c r="F41" s="13" t="s">
        <v>50</v>
      </c>
      <c r="G41" s="13" t="s">
        <v>43</v>
      </c>
      <c r="H41" s="13" t="s">
        <v>44</v>
      </c>
      <c r="I41" s="13" t="s">
        <v>52</v>
      </c>
      <c r="J41" s="13" t="s">
        <v>153</v>
      </c>
      <c r="K41" s="13" t="s">
        <v>154</v>
      </c>
      <c r="L41" s="15">
        <v>191.1</v>
      </c>
      <c r="M41" s="13">
        <v>2</v>
      </c>
      <c r="N41" s="16">
        <v>0</v>
      </c>
      <c r="O41" s="15">
        <v>38.22</v>
      </c>
      <c r="P41" s="17">
        <f t="shared" si="0"/>
        <v>0.2</v>
      </c>
    </row>
    <row r="42" spans="1:16" ht="15" customHeight="1" x14ac:dyDescent="0.25">
      <c r="A42" s="8" t="s">
        <v>189</v>
      </c>
      <c r="B42" s="9">
        <v>45229</v>
      </c>
      <c r="C42" s="9">
        <v>45230</v>
      </c>
      <c r="D42" s="8" t="s">
        <v>190</v>
      </c>
      <c r="E42" s="8" t="s">
        <v>121</v>
      </c>
      <c r="F42" s="8" t="s">
        <v>19</v>
      </c>
      <c r="G42" s="8" t="s">
        <v>20</v>
      </c>
      <c r="H42" s="8" t="s">
        <v>29</v>
      </c>
      <c r="I42" s="8" t="s">
        <v>22</v>
      </c>
      <c r="J42" s="8" t="s">
        <v>23</v>
      </c>
      <c r="K42" s="8" t="s">
        <v>143</v>
      </c>
      <c r="L42" s="10">
        <v>111.63</v>
      </c>
      <c r="M42" s="8">
        <v>3</v>
      </c>
      <c r="N42" s="11">
        <v>0</v>
      </c>
      <c r="O42" s="10">
        <v>34.49</v>
      </c>
      <c r="P42" s="12">
        <f t="shared" si="0"/>
        <v>0.30896712353310046</v>
      </c>
    </row>
    <row r="43" spans="1:16" ht="15" customHeight="1" x14ac:dyDescent="0.25">
      <c r="A43" s="13" t="s">
        <v>191</v>
      </c>
      <c r="B43" s="14">
        <v>44939</v>
      </c>
      <c r="C43" s="14">
        <v>44941</v>
      </c>
      <c r="D43" s="13" t="s">
        <v>192</v>
      </c>
      <c r="E43" s="13" t="s">
        <v>193</v>
      </c>
      <c r="F43" s="13" t="s">
        <v>50</v>
      </c>
      <c r="G43" s="13" t="s">
        <v>20</v>
      </c>
      <c r="H43" s="13" t="s">
        <v>29</v>
      </c>
      <c r="I43" s="13" t="s">
        <v>22</v>
      </c>
      <c r="J43" s="13" t="s">
        <v>45</v>
      </c>
      <c r="K43" s="13" t="s">
        <v>171</v>
      </c>
      <c r="L43" s="15">
        <v>4157.28</v>
      </c>
      <c r="M43" s="13">
        <v>10</v>
      </c>
      <c r="N43" s="16">
        <v>0.2</v>
      </c>
      <c r="O43" s="15">
        <v>1458.53</v>
      </c>
      <c r="P43" s="17">
        <f t="shared" si="0"/>
        <v>0.35083756687064621</v>
      </c>
    </row>
    <row r="44" spans="1:16" ht="15" customHeight="1" x14ac:dyDescent="0.25">
      <c r="A44" s="8" t="s">
        <v>194</v>
      </c>
      <c r="B44" s="9">
        <v>44666</v>
      </c>
      <c r="C44" s="9">
        <v>44672</v>
      </c>
      <c r="D44" s="8" t="s">
        <v>195</v>
      </c>
      <c r="E44" s="8" t="s">
        <v>98</v>
      </c>
      <c r="F44" s="8" t="s">
        <v>28</v>
      </c>
      <c r="G44" s="8" t="s">
        <v>43</v>
      </c>
      <c r="H44" s="8" t="s">
        <v>95</v>
      </c>
      <c r="I44" s="8" t="s">
        <v>22</v>
      </c>
      <c r="J44" s="8" t="s">
        <v>76</v>
      </c>
      <c r="K44" s="8" t="s">
        <v>77</v>
      </c>
      <c r="L44" s="10">
        <v>6828.71</v>
      </c>
      <c r="M44" s="8">
        <v>7</v>
      </c>
      <c r="N44" s="11">
        <v>0</v>
      </c>
      <c r="O44" s="10">
        <v>2209.15</v>
      </c>
      <c r="P44" s="12">
        <f t="shared" si="0"/>
        <v>0.32350912544243349</v>
      </c>
    </row>
    <row r="45" spans="1:16" ht="15" customHeight="1" x14ac:dyDescent="0.25">
      <c r="A45" s="13" t="s">
        <v>196</v>
      </c>
      <c r="B45" s="14">
        <v>45063</v>
      </c>
      <c r="C45" s="14">
        <v>45064</v>
      </c>
      <c r="D45" s="13" t="s">
        <v>197</v>
      </c>
      <c r="E45" s="13" t="s">
        <v>198</v>
      </c>
      <c r="F45" s="13" t="s">
        <v>28</v>
      </c>
      <c r="G45" s="13" t="s">
        <v>58</v>
      </c>
      <c r="H45" s="13" t="s">
        <v>59</v>
      </c>
      <c r="I45" s="13" t="s">
        <v>52</v>
      </c>
      <c r="J45" s="13" t="s">
        <v>53</v>
      </c>
      <c r="K45" s="13" t="s">
        <v>199</v>
      </c>
      <c r="L45" s="15">
        <v>796.64</v>
      </c>
      <c r="M45" s="13">
        <v>3</v>
      </c>
      <c r="N45" s="16">
        <v>0.1</v>
      </c>
      <c r="O45" s="15">
        <v>235.82</v>
      </c>
      <c r="P45" s="17">
        <f t="shared" si="0"/>
        <v>0.29601827676240211</v>
      </c>
    </row>
    <row r="46" spans="1:16" ht="15" customHeight="1" x14ac:dyDescent="0.25">
      <c r="A46" s="8" t="s">
        <v>200</v>
      </c>
      <c r="B46" s="9">
        <v>45008</v>
      </c>
      <c r="C46" s="9">
        <v>45015</v>
      </c>
      <c r="D46" s="8" t="s">
        <v>201</v>
      </c>
      <c r="E46" s="8" t="s">
        <v>202</v>
      </c>
      <c r="F46" s="8" t="s">
        <v>19</v>
      </c>
      <c r="G46" s="8" t="s">
        <v>43</v>
      </c>
      <c r="H46" s="8" t="s">
        <v>44</v>
      </c>
      <c r="I46" s="8" t="s">
        <v>22</v>
      </c>
      <c r="J46" s="8" t="s">
        <v>76</v>
      </c>
      <c r="K46" s="8" t="s">
        <v>203</v>
      </c>
      <c r="L46" s="10">
        <v>3230.59</v>
      </c>
      <c r="M46" s="8">
        <v>4</v>
      </c>
      <c r="N46" s="11">
        <v>0.2</v>
      </c>
      <c r="O46" s="10">
        <v>1182.08</v>
      </c>
      <c r="P46" s="12">
        <f t="shared" si="0"/>
        <v>0.36590220362224851</v>
      </c>
    </row>
    <row r="47" spans="1:16" ht="15" customHeight="1" x14ac:dyDescent="0.25">
      <c r="A47" s="13" t="s">
        <v>204</v>
      </c>
      <c r="B47" s="14">
        <v>45061</v>
      </c>
      <c r="C47" s="14">
        <v>45063</v>
      </c>
      <c r="D47" s="13" t="s">
        <v>205</v>
      </c>
      <c r="E47" s="13" t="s">
        <v>139</v>
      </c>
      <c r="F47" s="13" t="s">
        <v>50</v>
      </c>
      <c r="G47" s="13" t="s">
        <v>43</v>
      </c>
      <c r="H47" s="13" t="s">
        <v>44</v>
      </c>
      <c r="I47" s="13" t="s">
        <v>52</v>
      </c>
      <c r="J47" s="13" t="s">
        <v>82</v>
      </c>
      <c r="K47" s="13" t="s">
        <v>206</v>
      </c>
      <c r="L47" s="15">
        <v>123.41</v>
      </c>
      <c r="M47" s="13">
        <v>1</v>
      </c>
      <c r="N47" s="16">
        <v>0.05</v>
      </c>
      <c r="O47" s="15">
        <v>52.89</v>
      </c>
      <c r="P47" s="17">
        <f t="shared" si="0"/>
        <v>0.4285714285714286</v>
      </c>
    </row>
    <row r="48" spans="1:16" ht="15" customHeight="1" x14ac:dyDescent="0.25">
      <c r="A48" s="8" t="s">
        <v>207</v>
      </c>
      <c r="B48" s="9">
        <v>45269</v>
      </c>
      <c r="C48" s="9">
        <v>45273</v>
      </c>
      <c r="D48" s="8" t="s">
        <v>208</v>
      </c>
      <c r="E48" s="8" t="s">
        <v>209</v>
      </c>
      <c r="F48" s="8" t="s">
        <v>19</v>
      </c>
      <c r="G48" s="8" t="s">
        <v>58</v>
      </c>
      <c r="H48" s="8" t="s">
        <v>181</v>
      </c>
      <c r="I48" s="8" t="s">
        <v>22</v>
      </c>
      <c r="J48" s="8" t="s">
        <v>76</v>
      </c>
      <c r="K48" s="8" t="s">
        <v>91</v>
      </c>
      <c r="L48" s="10">
        <v>6218.79</v>
      </c>
      <c r="M48" s="8">
        <v>7</v>
      </c>
      <c r="N48" s="11">
        <v>0.1</v>
      </c>
      <c r="O48" s="10">
        <v>1766.2</v>
      </c>
      <c r="P48" s="12">
        <f t="shared" si="0"/>
        <v>0.28401023350201565</v>
      </c>
    </row>
    <row r="49" spans="1:16" ht="15" customHeight="1" x14ac:dyDescent="0.25">
      <c r="A49" s="13" t="s">
        <v>210</v>
      </c>
      <c r="B49" s="14">
        <v>44997</v>
      </c>
      <c r="C49" s="14">
        <v>45003</v>
      </c>
      <c r="D49" s="13" t="s">
        <v>211</v>
      </c>
      <c r="E49" s="13" t="s">
        <v>212</v>
      </c>
      <c r="F49" s="13" t="s">
        <v>28</v>
      </c>
      <c r="G49" s="13" t="s">
        <v>43</v>
      </c>
      <c r="H49" s="13" t="s">
        <v>44</v>
      </c>
      <c r="I49" s="13" t="s">
        <v>52</v>
      </c>
      <c r="J49" s="13" t="s">
        <v>82</v>
      </c>
      <c r="K49" s="13" t="s">
        <v>100</v>
      </c>
      <c r="L49" s="15">
        <v>543.64</v>
      </c>
      <c r="M49" s="13">
        <v>5</v>
      </c>
      <c r="N49" s="16">
        <v>0.05</v>
      </c>
      <c r="O49" s="15">
        <v>201.75</v>
      </c>
      <c r="P49" s="17">
        <f t="shared" si="0"/>
        <v>0.37110955779560006</v>
      </c>
    </row>
    <row r="50" spans="1:16" ht="15" customHeight="1" x14ac:dyDescent="0.25">
      <c r="A50" s="8" t="s">
        <v>213</v>
      </c>
      <c r="B50" s="9">
        <v>44783</v>
      </c>
      <c r="C50" s="9">
        <v>44789</v>
      </c>
      <c r="D50" s="8" t="s">
        <v>214</v>
      </c>
      <c r="E50" s="8" t="s">
        <v>215</v>
      </c>
      <c r="F50" s="8" t="s">
        <v>28</v>
      </c>
      <c r="G50" s="8" t="s">
        <v>58</v>
      </c>
      <c r="H50" s="8" t="s">
        <v>59</v>
      </c>
      <c r="I50" s="8" t="s">
        <v>30</v>
      </c>
      <c r="J50" s="8" t="s">
        <v>162</v>
      </c>
      <c r="K50" s="8" t="s">
        <v>163</v>
      </c>
      <c r="L50" s="10">
        <v>183.87</v>
      </c>
      <c r="M50" s="8">
        <v>4</v>
      </c>
      <c r="N50" s="11">
        <v>0.15</v>
      </c>
      <c r="O50" s="10">
        <v>74.489999999999995</v>
      </c>
      <c r="P50" s="12">
        <f t="shared" si="0"/>
        <v>0.40512318485886761</v>
      </c>
    </row>
    <row r="51" spans="1:16" ht="15" customHeight="1" x14ac:dyDescent="0.25">
      <c r="A51" s="13" t="s">
        <v>216</v>
      </c>
      <c r="B51" s="14">
        <v>44842</v>
      </c>
      <c r="C51" s="14">
        <v>44843</v>
      </c>
      <c r="D51" s="13" t="s">
        <v>217</v>
      </c>
      <c r="E51" s="13" t="s">
        <v>218</v>
      </c>
      <c r="F51" s="13" t="s">
        <v>28</v>
      </c>
      <c r="G51" s="13" t="s">
        <v>20</v>
      </c>
      <c r="H51" s="13" t="s">
        <v>21</v>
      </c>
      <c r="I51" s="13" t="s">
        <v>22</v>
      </c>
      <c r="J51" s="13" t="s">
        <v>38</v>
      </c>
      <c r="K51" s="13" t="s">
        <v>39</v>
      </c>
      <c r="L51" s="15">
        <v>248.27</v>
      </c>
      <c r="M51" s="13">
        <v>1</v>
      </c>
      <c r="N51" s="16">
        <v>0.3</v>
      </c>
      <c r="O51" s="15">
        <v>82.01</v>
      </c>
      <c r="P51" s="17">
        <f t="shared" si="0"/>
        <v>0.33032585491601885</v>
      </c>
    </row>
    <row r="52" spans="1:16" ht="15" customHeight="1" x14ac:dyDescent="0.25">
      <c r="A52" s="8" t="s">
        <v>219</v>
      </c>
      <c r="B52" s="9">
        <v>44820</v>
      </c>
      <c r="C52" s="9">
        <v>44827</v>
      </c>
      <c r="D52" s="8" t="s">
        <v>220</v>
      </c>
      <c r="E52" s="8" t="s">
        <v>193</v>
      </c>
      <c r="F52" s="8" t="s">
        <v>19</v>
      </c>
      <c r="G52" s="8" t="s">
        <v>58</v>
      </c>
      <c r="H52" s="8" t="s">
        <v>81</v>
      </c>
      <c r="I52" s="8" t="s">
        <v>52</v>
      </c>
      <c r="J52" s="8" t="s">
        <v>153</v>
      </c>
      <c r="K52" s="8" t="s">
        <v>221</v>
      </c>
      <c r="L52" s="10">
        <v>1019.9</v>
      </c>
      <c r="M52" s="8">
        <v>10</v>
      </c>
      <c r="N52" s="11">
        <v>0</v>
      </c>
      <c r="O52" s="10">
        <v>420.27</v>
      </c>
      <c r="P52" s="12">
        <f t="shared" si="0"/>
        <v>0.41206981076576132</v>
      </c>
    </row>
    <row r="53" spans="1:16" ht="15" customHeight="1" x14ac:dyDescent="0.25">
      <c r="A53" s="13" t="s">
        <v>222</v>
      </c>
      <c r="B53" s="14">
        <v>44683</v>
      </c>
      <c r="C53" s="14">
        <v>44688</v>
      </c>
      <c r="D53" s="13" t="s">
        <v>223</v>
      </c>
      <c r="E53" s="13" t="s">
        <v>68</v>
      </c>
      <c r="F53" s="13" t="s">
        <v>28</v>
      </c>
      <c r="G53" s="13" t="s">
        <v>58</v>
      </c>
      <c r="H53" s="13" t="s">
        <v>87</v>
      </c>
      <c r="I53" s="13" t="s">
        <v>52</v>
      </c>
      <c r="J53" s="13" t="s">
        <v>153</v>
      </c>
      <c r="K53" s="13" t="s">
        <v>154</v>
      </c>
      <c r="L53" s="15">
        <v>445.36</v>
      </c>
      <c r="M53" s="13">
        <v>5</v>
      </c>
      <c r="N53" s="16">
        <v>0.2</v>
      </c>
      <c r="O53" s="15">
        <v>166.41</v>
      </c>
      <c r="P53" s="17">
        <f t="shared" si="0"/>
        <v>0.37365277528291718</v>
      </c>
    </row>
    <row r="54" spans="1:16" ht="15" customHeight="1" x14ac:dyDescent="0.25">
      <c r="A54" s="8" t="s">
        <v>224</v>
      </c>
      <c r="B54" s="9">
        <v>44774</v>
      </c>
      <c r="C54" s="9">
        <v>44780</v>
      </c>
      <c r="D54" s="8" t="s">
        <v>225</v>
      </c>
      <c r="E54" s="8" t="s">
        <v>226</v>
      </c>
      <c r="F54" s="8" t="s">
        <v>28</v>
      </c>
      <c r="G54" s="8" t="s">
        <v>36</v>
      </c>
      <c r="H54" s="8" t="s">
        <v>37</v>
      </c>
      <c r="I54" s="8" t="s">
        <v>22</v>
      </c>
      <c r="J54" s="8" t="s">
        <v>23</v>
      </c>
      <c r="K54" s="8" t="s">
        <v>143</v>
      </c>
      <c r="L54" s="10">
        <v>115.32</v>
      </c>
      <c r="M54" s="8">
        <v>3</v>
      </c>
      <c r="N54" s="11">
        <v>0</v>
      </c>
      <c r="O54" s="10">
        <v>51.82</v>
      </c>
      <c r="P54" s="12">
        <f t="shared" si="0"/>
        <v>0.44935830731876519</v>
      </c>
    </row>
    <row r="55" spans="1:16" ht="15" customHeight="1" x14ac:dyDescent="0.25">
      <c r="A55" s="13" t="s">
        <v>227</v>
      </c>
      <c r="B55" s="14">
        <v>44860</v>
      </c>
      <c r="C55" s="14">
        <v>44861</v>
      </c>
      <c r="D55" s="13" t="s">
        <v>228</v>
      </c>
      <c r="E55" s="13" t="s">
        <v>229</v>
      </c>
      <c r="F55" s="13" t="s">
        <v>28</v>
      </c>
      <c r="G55" s="13" t="s">
        <v>36</v>
      </c>
      <c r="H55" s="13" t="s">
        <v>37</v>
      </c>
      <c r="I55" s="13" t="s">
        <v>52</v>
      </c>
      <c r="J55" s="13" t="s">
        <v>153</v>
      </c>
      <c r="K55" s="13" t="s">
        <v>221</v>
      </c>
      <c r="L55" s="15">
        <v>432.9</v>
      </c>
      <c r="M55" s="13">
        <v>4</v>
      </c>
      <c r="N55" s="16">
        <v>0.05</v>
      </c>
      <c r="O55" s="15">
        <v>148.79</v>
      </c>
      <c r="P55" s="17">
        <f t="shared" si="0"/>
        <v>0.34370524370524369</v>
      </c>
    </row>
    <row r="56" spans="1:16" ht="15" customHeight="1" x14ac:dyDescent="0.25">
      <c r="A56" s="8" t="s">
        <v>230</v>
      </c>
      <c r="B56" s="9">
        <v>44834</v>
      </c>
      <c r="C56" s="9">
        <v>44841</v>
      </c>
      <c r="D56" s="8" t="s">
        <v>231</v>
      </c>
      <c r="E56" s="8" t="s">
        <v>42</v>
      </c>
      <c r="F56" s="8" t="s">
        <v>19</v>
      </c>
      <c r="G56" s="8" t="s">
        <v>36</v>
      </c>
      <c r="H56" s="8" t="s">
        <v>232</v>
      </c>
      <c r="I56" s="8" t="s">
        <v>22</v>
      </c>
      <c r="J56" s="8" t="s">
        <v>76</v>
      </c>
      <c r="K56" s="8" t="s">
        <v>77</v>
      </c>
      <c r="L56" s="10">
        <v>7524.02</v>
      </c>
      <c r="M56" s="8">
        <v>10</v>
      </c>
      <c r="N56" s="11">
        <v>0.3</v>
      </c>
      <c r="O56" s="10">
        <v>3151.9</v>
      </c>
      <c r="P56" s="12">
        <f t="shared" si="0"/>
        <v>0.41891169879931206</v>
      </c>
    </row>
    <row r="57" spans="1:16" ht="15" customHeight="1" x14ac:dyDescent="0.25">
      <c r="A57" s="13" t="s">
        <v>233</v>
      </c>
      <c r="B57" s="14">
        <v>45074</v>
      </c>
      <c r="C57" s="14">
        <v>45079</v>
      </c>
      <c r="D57" s="13" t="s">
        <v>234</v>
      </c>
      <c r="E57" s="13" t="s">
        <v>235</v>
      </c>
      <c r="F57" s="13" t="s">
        <v>19</v>
      </c>
      <c r="G57" s="13" t="s">
        <v>58</v>
      </c>
      <c r="H57" s="13" t="s">
        <v>181</v>
      </c>
      <c r="I57" s="13" t="s">
        <v>30</v>
      </c>
      <c r="J57" s="13" t="s">
        <v>114</v>
      </c>
      <c r="K57" s="13" t="s">
        <v>236</v>
      </c>
      <c r="L57" s="15">
        <v>80.760000000000005</v>
      </c>
      <c r="M57" s="13">
        <v>6</v>
      </c>
      <c r="N57" s="16">
        <v>0</v>
      </c>
      <c r="O57" s="15">
        <v>34.5</v>
      </c>
      <c r="P57" s="17">
        <f t="shared" si="0"/>
        <v>0.42719167904903416</v>
      </c>
    </row>
    <row r="58" spans="1:16" ht="15" customHeight="1" x14ac:dyDescent="0.25">
      <c r="A58" s="8" t="s">
        <v>237</v>
      </c>
      <c r="B58" s="9">
        <v>44741</v>
      </c>
      <c r="C58" s="9">
        <v>44745</v>
      </c>
      <c r="D58" s="8" t="s">
        <v>238</v>
      </c>
      <c r="E58" s="8" t="s">
        <v>239</v>
      </c>
      <c r="F58" s="8" t="s">
        <v>19</v>
      </c>
      <c r="G58" s="8" t="s">
        <v>58</v>
      </c>
      <c r="H58" s="8" t="s">
        <v>59</v>
      </c>
      <c r="I58" s="8" t="s">
        <v>30</v>
      </c>
      <c r="J58" s="8" t="s">
        <v>31</v>
      </c>
      <c r="K58" s="8" t="s">
        <v>240</v>
      </c>
      <c r="L58" s="10">
        <v>684.21</v>
      </c>
      <c r="M58" s="8">
        <v>8</v>
      </c>
      <c r="N58" s="11">
        <v>0.3</v>
      </c>
      <c r="O58" s="10">
        <v>248.37</v>
      </c>
      <c r="P58" s="12">
        <f t="shared" si="0"/>
        <v>0.36300258692506687</v>
      </c>
    </row>
    <row r="59" spans="1:16" ht="15" customHeight="1" x14ac:dyDescent="0.25">
      <c r="A59" s="13" t="s">
        <v>241</v>
      </c>
      <c r="B59" s="14">
        <v>44726</v>
      </c>
      <c r="C59" s="14">
        <v>44729</v>
      </c>
      <c r="D59" s="13" t="s">
        <v>242</v>
      </c>
      <c r="E59" s="13" t="s">
        <v>106</v>
      </c>
      <c r="F59" s="13" t="s">
        <v>50</v>
      </c>
      <c r="G59" s="13" t="s">
        <v>58</v>
      </c>
      <c r="H59" s="13" t="s">
        <v>181</v>
      </c>
      <c r="I59" s="13" t="s">
        <v>30</v>
      </c>
      <c r="J59" s="13" t="s">
        <v>31</v>
      </c>
      <c r="K59" s="13" t="s">
        <v>240</v>
      </c>
      <c r="L59" s="15">
        <v>85.16</v>
      </c>
      <c r="M59" s="13">
        <v>1</v>
      </c>
      <c r="N59" s="16">
        <v>0.15</v>
      </c>
      <c r="O59" s="15">
        <v>32.950000000000003</v>
      </c>
      <c r="P59" s="17">
        <f t="shared" si="0"/>
        <v>0.38691874119304842</v>
      </c>
    </row>
    <row r="60" spans="1:16" ht="15" customHeight="1" x14ac:dyDescent="0.25">
      <c r="A60" s="8" t="s">
        <v>243</v>
      </c>
      <c r="B60" s="9">
        <v>45235</v>
      </c>
      <c r="C60" s="9">
        <v>45242</v>
      </c>
      <c r="D60" s="8" t="s">
        <v>244</v>
      </c>
      <c r="E60" s="8" t="s">
        <v>152</v>
      </c>
      <c r="F60" s="8" t="s">
        <v>19</v>
      </c>
      <c r="G60" s="8" t="s">
        <v>58</v>
      </c>
      <c r="H60" s="8" t="s">
        <v>181</v>
      </c>
      <c r="I60" s="8" t="s">
        <v>22</v>
      </c>
      <c r="J60" s="8" t="s">
        <v>76</v>
      </c>
      <c r="K60" s="8" t="s">
        <v>77</v>
      </c>
      <c r="L60" s="10">
        <v>7693.76</v>
      </c>
      <c r="M60" s="8">
        <v>8</v>
      </c>
      <c r="N60" s="11">
        <v>0</v>
      </c>
      <c r="O60" s="10">
        <v>3070.66</v>
      </c>
      <c r="P60" s="12">
        <f t="shared" si="0"/>
        <v>0.3991104479474275</v>
      </c>
    </row>
    <row r="61" spans="1:16" ht="15" customHeight="1" x14ac:dyDescent="0.25">
      <c r="A61" s="13" t="s">
        <v>245</v>
      </c>
      <c r="B61" s="14">
        <v>45010</v>
      </c>
      <c r="C61" s="14">
        <v>45016</v>
      </c>
      <c r="D61" s="13" t="s">
        <v>246</v>
      </c>
      <c r="E61" s="13" t="s">
        <v>90</v>
      </c>
      <c r="F61" s="13" t="s">
        <v>19</v>
      </c>
      <c r="G61" s="13" t="s">
        <v>58</v>
      </c>
      <c r="H61" s="13" t="s">
        <v>81</v>
      </c>
      <c r="I61" s="13" t="s">
        <v>30</v>
      </c>
      <c r="J61" s="13" t="s">
        <v>60</v>
      </c>
      <c r="K61" s="13" t="s">
        <v>61</v>
      </c>
      <c r="L61" s="15">
        <v>53.46</v>
      </c>
      <c r="M61" s="13">
        <v>3</v>
      </c>
      <c r="N61" s="16">
        <v>0</v>
      </c>
      <c r="O61" s="15">
        <v>16.68</v>
      </c>
      <c r="P61" s="17">
        <f t="shared" si="0"/>
        <v>0.31200897867564531</v>
      </c>
    </row>
    <row r="62" spans="1:16" ht="15" customHeight="1" x14ac:dyDescent="0.25">
      <c r="A62" s="8" t="s">
        <v>247</v>
      </c>
      <c r="B62" s="9">
        <v>45034</v>
      </c>
      <c r="C62" s="9">
        <v>45035</v>
      </c>
      <c r="D62" s="8" t="s">
        <v>248</v>
      </c>
      <c r="E62" s="8" t="s">
        <v>249</v>
      </c>
      <c r="F62" s="8" t="s">
        <v>28</v>
      </c>
      <c r="G62" s="8" t="s">
        <v>36</v>
      </c>
      <c r="H62" s="8" t="s">
        <v>174</v>
      </c>
      <c r="I62" s="8" t="s">
        <v>52</v>
      </c>
      <c r="J62" s="8" t="s">
        <v>82</v>
      </c>
      <c r="K62" s="8" t="s">
        <v>100</v>
      </c>
      <c r="L62" s="10">
        <v>1177.47</v>
      </c>
      <c r="M62" s="8">
        <v>8</v>
      </c>
      <c r="N62" s="11">
        <v>0.05</v>
      </c>
      <c r="O62" s="10">
        <v>395.4</v>
      </c>
      <c r="P62" s="12">
        <f t="shared" si="0"/>
        <v>0.33580473387857013</v>
      </c>
    </row>
    <row r="63" spans="1:16" ht="15" customHeight="1" x14ac:dyDescent="0.25">
      <c r="A63" s="13" t="s">
        <v>250</v>
      </c>
      <c r="B63" s="14">
        <v>45175</v>
      </c>
      <c r="C63" s="14">
        <v>45180</v>
      </c>
      <c r="D63" s="13" t="s">
        <v>251</v>
      </c>
      <c r="E63" s="13" t="s">
        <v>71</v>
      </c>
      <c r="F63" s="13" t="s">
        <v>50</v>
      </c>
      <c r="G63" s="13" t="s">
        <v>36</v>
      </c>
      <c r="H63" s="13" t="s">
        <v>232</v>
      </c>
      <c r="I63" s="13" t="s">
        <v>52</v>
      </c>
      <c r="J63" s="13" t="s">
        <v>82</v>
      </c>
      <c r="K63" s="13" t="s">
        <v>206</v>
      </c>
      <c r="L63" s="15">
        <v>658.39</v>
      </c>
      <c r="M63" s="13">
        <v>5</v>
      </c>
      <c r="N63" s="16">
        <v>0.1</v>
      </c>
      <c r="O63" s="15">
        <v>176.77</v>
      </c>
      <c r="P63" s="17">
        <f t="shared" si="0"/>
        <v>0.26848828202129438</v>
      </c>
    </row>
    <row r="64" spans="1:16" ht="15" customHeight="1" x14ac:dyDescent="0.25">
      <c r="A64" s="8" t="s">
        <v>252</v>
      </c>
      <c r="B64" s="9">
        <v>45113</v>
      </c>
      <c r="C64" s="9">
        <v>45117</v>
      </c>
      <c r="D64" s="8" t="s">
        <v>253</v>
      </c>
      <c r="E64" s="8" t="s">
        <v>106</v>
      </c>
      <c r="F64" s="8" t="s">
        <v>28</v>
      </c>
      <c r="G64" s="8" t="s">
        <v>43</v>
      </c>
      <c r="H64" s="8" t="s">
        <v>44</v>
      </c>
      <c r="I64" s="8" t="s">
        <v>30</v>
      </c>
      <c r="J64" s="8" t="s">
        <v>31</v>
      </c>
      <c r="K64" s="8" t="s">
        <v>65</v>
      </c>
      <c r="L64" s="10">
        <v>672.2</v>
      </c>
      <c r="M64" s="8">
        <v>6</v>
      </c>
      <c r="N64" s="11">
        <v>0.05</v>
      </c>
      <c r="O64" s="10">
        <v>206.4</v>
      </c>
      <c r="P64" s="12">
        <f t="shared" si="0"/>
        <v>0.30705147277595951</v>
      </c>
    </row>
    <row r="65" spans="1:16" ht="15" customHeight="1" x14ac:dyDescent="0.25">
      <c r="A65" s="13" t="s">
        <v>254</v>
      </c>
      <c r="B65" s="14">
        <v>44887</v>
      </c>
      <c r="C65" s="14">
        <v>44893</v>
      </c>
      <c r="D65" s="13" t="s">
        <v>255</v>
      </c>
      <c r="E65" s="13" t="s">
        <v>256</v>
      </c>
      <c r="F65" s="13" t="s">
        <v>50</v>
      </c>
      <c r="G65" s="13" t="s">
        <v>58</v>
      </c>
      <c r="H65" s="13" t="s">
        <v>181</v>
      </c>
      <c r="I65" s="13" t="s">
        <v>30</v>
      </c>
      <c r="J65" s="13" t="s">
        <v>60</v>
      </c>
      <c r="K65" s="13" t="s">
        <v>140</v>
      </c>
      <c r="L65" s="15">
        <v>13.87</v>
      </c>
      <c r="M65" s="13">
        <v>1</v>
      </c>
      <c r="N65" s="16">
        <v>0.15</v>
      </c>
      <c r="O65" s="15">
        <v>3.23</v>
      </c>
      <c r="P65" s="17">
        <f t="shared" si="0"/>
        <v>0.23287671232876714</v>
      </c>
    </row>
    <row r="66" spans="1:16" ht="15" customHeight="1" x14ac:dyDescent="0.25">
      <c r="A66" s="8" t="s">
        <v>257</v>
      </c>
      <c r="B66" s="9">
        <v>44577</v>
      </c>
      <c r="C66" s="9">
        <v>44583</v>
      </c>
      <c r="D66" s="8" t="s">
        <v>258</v>
      </c>
      <c r="E66" s="8" t="s">
        <v>259</v>
      </c>
      <c r="F66" s="8" t="s">
        <v>28</v>
      </c>
      <c r="G66" s="8" t="s">
        <v>36</v>
      </c>
      <c r="H66" s="8" t="s">
        <v>174</v>
      </c>
      <c r="I66" s="8" t="s">
        <v>22</v>
      </c>
      <c r="J66" s="8" t="s">
        <v>45</v>
      </c>
      <c r="K66" s="8" t="s">
        <v>171</v>
      </c>
      <c r="L66" s="10">
        <v>1804.24</v>
      </c>
      <c r="M66" s="8">
        <v>5</v>
      </c>
      <c r="N66" s="11">
        <v>0.2</v>
      </c>
      <c r="O66" s="10">
        <v>518.79</v>
      </c>
      <c r="P66" s="12">
        <f t="shared" ref="P66:P129" si="1">O66/L66</f>
        <v>0.28753935174921297</v>
      </c>
    </row>
    <row r="67" spans="1:16" ht="15" customHeight="1" x14ac:dyDescent="0.25">
      <c r="A67" s="13" t="s">
        <v>260</v>
      </c>
      <c r="B67" s="14">
        <v>44886</v>
      </c>
      <c r="C67" s="14">
        <v>44892</v>
      </c>
      <c r="D67" s="13" t="s">
        <v>97</v>
      </c>
      <c r="E67" s="13" t="s">
        <v>256</v>
      </c>
      <c r="F67" s="13" t="s">
        <v>28</v>
      </c>
      <c r="G67" s="13" t="s">
        <v>58</v>
      </c>
      <c r="H67" s="13" t="s">
        <v>81</v>
      </c>
      <c r="I67" s="13" t="s">
        <v>22</v>
      </c>
      <c r="J67" s="13" t="s">
        <v>23</v>
      </c>
      <c r="K67" s="13" t="s">
        <v>24</v>
      </c>
      <c r="L67" s="15">
        <v>227.3</v>
      </c>
      <c r="M67" s="13">
        <v>5</v>
      </c>
      <c r="N67" s="16">
        <v>0</v>
      </c>
      <c r="O67" s="15">
        <v>77.62</v>
      </c>
      <c r="P67" s="17">
        <f t="shared" si="1"/>
        <v>0.34148702155741312</v>
      </c>
    </row>
    <row r="68" spans="1:16" ht="15" customHeight="1" x14ac:dyDescent="0.25">
      <c r="A68" s="8" t="s">
        <v>261</v>
      </c>
      <c r="B68" s="9">
        <v>44732</v>
      </c>
      <c r="C68" s="9">
        <v>44738</v>
      </c>
      <c r="D68" s="8" t="s">
        <v>262</v>
      </c>
      <c r="E68" s="8" t="s">
        <v>263</v>
      </c>
      <c r="F68" s="8" t="s">
        <v>19</v>
      </c>
      <c r="G68" s="8" t="s">
        <v>43</v>
      </c>
      <c r="H68" s="8" t="s">
        <v>95</v>
      </c>
      <c r="I68" s="8" t="s">
        <v>52</v>
      </c>
      <c r="J68" s="8" t="s">
        <v>264</v>
      </c>
      <c r="K68" s="8" t="s">
        <v>265</v>
      </c>
      <c r="L68" s="10">
        <v>1100.1600000000001</v>
      </c>
      <c r="M68" s="8">
        <v>6</v>
      </c>
      <c r="N68" s="11">
        <v>0</v>
      </c>
      <c r="O68" s="10">
        <v>427.91</v>
      </c>
      <c r="P68" s="12">
        <f t="shared" si="1"/>
        <v>0.38895251599767305</v>
      </c>
    </row>
    <row r="69" spans="1:16" ht="15" customHeight="1" x14ac:dyDescent="0.25">
      <c r="A69" s="13" t="s">
        <v>266</v>
      </c>
      <c r="B69" s="14">
        <v>44736</v>
      </c>
      <c r="C69" s="14">
        <v>44738</v>
      </c>
      <c r="D69" s="13" t="s">
        <v>267</v>
      </c>
      <c r="E69" s="13" t="s">
        <v>235</v>
      </c>
      <c r="F69" s="13" t="s">
        <v>28</v>
      </c>
      <c r="G69" s="13" t="s">
        <v>20</v>
      </c>
      <c r="H69" s="13" t="s">
        <v>167</v>
      </c>
      <c r="I69" s="13" t="s">
        <v>30</v>
      </c>
      <c r="J69" s="13" t="s">
        <v>60</v>
      </c>
      <c r="K69" s="13" t="s">
        <v>140</v>
      </c>
      <c r="L69" s="15">
        <v>115.22</v>
      </c>
      <c r="M69" s="13">
        <v>10</v>
      </c>
      <c r="N69" s="16">
        <v>0.3</v>
      </c>
      <c r="O69" s="15">
        <v>33.47</v>
      </c>
      <c r="P69" s="17">
        <f t="shared" si="1"/>
        <v>0.29048776254122549</v>
      </c>
    </row>
    <row r="70" spans="1:16" ht="15" customHeight="1" x14ac:dyDescent="0.25">
      <c r="A70" s="8" t="s">
        <v>268</v>
      </c>
      <c r="B70" s="9">
        <v>45038</v>
      </c>
      <c r="C70" s="9">
        <v>45041</v>
      </c>
      <c r="D70" s="8" t="s">
        <v>269</v>
      </c>
      <c r="E70" s="8" t="s">
        <v>270</v>
      </c>
      <c r="F70" s="8" t="s">
        <v>50</v>
      </c>
      <c r="G70" s="8" t="s">
        <v>36</v>
      </c>
      <c r="H70" s="8" t="s">
        <v>232</v>
      </c>
      <c r="I70" s="8" t="s">
        <v>52</v>
      </c>
      <c r="J70" s="8" t="s">
        <v>82</v>
      </c>
      <c r="K70" s="8" t="s">
        <v>206</v>
      </c>
      <c r="L70" s="10">
        <v>682.47</v>
      </c>
      <c r="M70" s="8">
        <v>7</v>
      </c>
      <c r="N70" s="11">
        <v>0.3</v>
      </c>
      <c r="O70" s="10">
        <v>162.88999999999999</v>
      </c>
      <c r="P70" s="12">
        <f t="shared" si="1"/>
        <v>0.23867715797031369</v>
      </c>
    </row>
    <row r="71" spans="1:16" ht="15" customHeight="1" x14ac:dyDescent="0.25">
      <c r="A71" s="13" t="s">
        <v>271</v>
      </c>
      <c r="B71" s="14">
        <v>44671</v>
      </c>
      <c r="C71" s="14">
        <v>44673</v>
      </c>
      <c r="D71" s="13" t="s">
        <v>272</v>
      </c>
      <c r="E71" s="13" t="s">
        <v>273</v>
      </c>
      <c r="F71" s="13" t="s">
        <v>28</v>
      </c>
      <c r="G71" s="13" t="s">
        <v>58</v>
      </c>
      <c r="H71" s="13" t="s">
        <v>59</v>
      </c>
      <c r="I71" s="13" t="s">
        <v>52</v>
      </c>
      <c r="J71" s="13" t="s">
        <v>82</v>
      </c>
      <c r="K71" s="13" t="s">
        <v>83</v>
      </c>
      <c r="L71" s="15">
        <v>817.74</v>
      </c>
      <c r="M71" s="13">
        <v>7</v>
      </c>
      <c r="N71" s="16">
        <v>0</v>
      </c>
      <c r="O71" s="15">
        <v>181.82</v>
      </c>
      <c r="P71" s="17">
        <f t="shared" si="1"/>
        <v>0.2223445104801037</v>
      </c>
    </row>
    <row r="72" spans="1:16" ht="15" customHeight="1" x14ac:dyDescent="0.25">
      <c r="A72" s="8" t="s">
        <v>274</v>
      </c>
      <c r="B72" s="9">
        <v>45183</v>
      </c>
      <c r="C72" s="9">
        <v>45190</v>
      </c>
      <c r="D72" s="8" t="s">
        <v>275</v>
      </c>
      <c r="E72" s="8" t="s">
        <v>110</v>
      </c>
      <c r="F72" s="8" t="s">
        <v>28</v>
      </c>
      <c r="G72" s="8" t="s">
        <v>43</v>
      </c>
      <c r="H72" s="8" t="s">
        <v>51</v>
      </c>
      <c r="I72" s="8" t="s">
        <v>22</v>
      </c>
      <c r="J72" s="8" t="s">
        <v>76</v>
      </c>
      <c r="K72" s="8" t="s">
        <v>77</v>
      </c>
      <c r="L72" s="10">
        <v>2888.4</v>
      </c>
      <c r="M72" s="8">
        <v>3</v>
      </c>
      <c r="N72" s="11">
        <v>0</v>
      </c>
      <c r="O72" s="10">
        <v>1076.7</v>
      </c>
      <c r="P72" s="12">
        <f t="shared" si="1"/>
        <v>0.37276692978811798</v>
      </c>
    </row>
    <row r="73" spans="1:16" ht="15" customHeight="1" x14ac:dyDescent="0.25">
      <c r="A73" s="13" t="s">
        <v>276</v>
      </c>
      <c r="B73" s="14">
        <v>44696</v>
      </c>
      <c r="C73" s="14">
        <v>44697</v>
      </c>
      <c r="D73" s="13" t="s">
        <v>277</v>
      </c>
      <c r="E73" s="13" t="s">
        <v>152</v>
      </c>
      <c r="F73" s="13" t="s">
        <v>28</v>
      </c>
      <c r="G73" s="13" t="s">
        <v>43</v>
      </c>
      <c r="H73" s="13" t="s">
        <v>44</v>
      </c>
      <c r="I73" s="13" t="s">
        <v>52</v>
      </c>
      <c r="J73" s="13" t="s">
        <v>53</v>
      </c>
      <c r="K73" s="13" t="s">
        <v>278</v>
      </c>
      <c r="L73" s="15">
        <v>767.5</v>
      </c>
      <c r="M73" s="13">
        <v>3</v>
      </c>
      <c r="N73" s="16">
        <v>0.15</v>
      </c>
      <c r="O73" s="15">
        <v>243.52</v>
      </c>
      <c r="P73" s="17">
        <f t="shared" si="1"/>
        <v>0.31728990228013032</v>
      </c>
    </row>
    <row r="74" spans="1:16" ht="15" customHeight="1" x14ac:dyDescent="0.25">
      <c r="A74" s="8" t="s">
        <v>279</v>
      </c>
      <c r="B74" s="9">
        <v>45055</v>
      </c>
      <c r="C74" s="9">
        <v>45062</v>
      </c>
      <c r="D74" s="8" t="s">
        <v>280</v>
      </c>
      <c r="E74" s="8" t="s">
        <v>166</v>
      </c>
      <c r="F74" s="8" t="s">
        <v>19</v>
      </c>
      <c r="G74" s="8" t="s">
        <v>43</v>
      </c>
      <c r="H74" s="8" t="s">
        <v>44</v>
      </c>
      <c r="I74" s="8" t="s">
        <v>52</v>
      </c>
      <c r="J74" s="8" t="s">
        <v>264</v>
      </c>
      <c r="K74" s="8" t="s">
        <v>281</v>
      </c>
      <c r="L74" s="10">
        <v>712.54</v>
      </c>
      <c r="M74" s="8">
        <v>4</v>
      </c>
      <c r="N74" s="11">
        <v>0.2</v>
      </c>
      <c r="O74" s="10">
        <v>148.34</v>
      </c>
      <c r="P74" s="12">
        <f t="shared" si="1"/>
        <v>0.20818480366014541</v>
      </c>
    </row>
    <row r="75" spans="1:16" ht="15" customHeight="1" x14ac:dyDescent="0.25">
      <c r="A75" s="13" t="s">
        <v>282</v>
      </c>
      <c r="B75" s="14">
        <v>44576</v>
      </c>
      <c r="C75" s="14">
        <v>44579</v>
      </c>
      <c r="D75" s="13" t="s">
        <v>283</v>
      </c>
      <c r="E75" s="13" t="s">
        <v>180</v>
      </c>
      <c r="F75" s="13" t="s">
        <v>50</v>
      </c>
      <c r="G75" s="13" t="s">
        <v>20</v>
      </c>
      <c r="H75" s="13" t="s">
        <v>167</v>
      </c>
      <c r="I75" s="13" t="s">
        <v>30</v>
      </c>
      <c r="J75" s="13" t="s">
        <v>162</v>
      </c>
      <c r="K75" s="13" t="s">
        <v>284</v>
      </c>
      <c r="L75" s="15">
        <v>399.24</v>
      </c>
      <c r="M75" s="13">
        <v>7</v>
      </c>
      <c r="N75" s="16">
        <v>0.15</v>
      </c>
      <c r="O75" s="15">
        <v>168.84</v>
      </c>
      <c r="P75" s="17">
        <f t="shared" si="1"/>
        <v>0.42290351668169524</v>
      </c>
    </row>
    <row r="76" spans="1:16" ht="15" customHeight="1" x14ac:dyDescent="0.25">
      <c r="A76" s="8" t="s">
        <v>285</v>
      </c>
      <c r="B76" s="9">
        <v>45196</v>
      </c>
      <c r="C76" s="9">
        <v>45201</v>
      </c>
      <c r="D76" s="8" t="s">
        <v>286</v>
      </c>
      <c r="E76" s="8" t="s">
        <v>287</v>
      </c>
      <c r="F76" s="8" t="s">
        <v>28</v>
      </c>
      <c r="G76" s="8" t="s">
        <v>43</v>
      </c>
      <c r="H76" s="8" t="s">
        <v>51</v>
      </c>
      <c r="I76" s="8" t="s">
        <v>22</v>
      </c>
      <c r="J76" s="8" t="s">
        <v>38</v>
      </c>
      <c r="K76" s="8" t="s">
        <v>158</v>
      </c>
      <c r="L76" s="10">
        <v>1827.45</v>
      </c>
      <c r="M76" s="8">
        <v>5</v>
      </c>
      <c r="N76" s="11">
        <v>0</v>
      </c>
      <c r="O76" s="10">
        <v>758.49</v>
      </c>
      <c r="P76" s="12">
        <f t="shared" si="1"/>
        <v>0.4150537634408602</v>
      </c>
    </row>
    <row r="77" spans="1:16" ht="15" customHeight="1" x14ac:dyDescent="0.25">
      <c r="A77" s="13" t="s">
        <v>288</v>
      </c>
      <c r="B77" s="14">
        <v>44680</v>
      </c>
      <c r="C77" s="14">
        <v>44681</v>
      </c>
      <c r="D77" s="13" t="s">
        <v>289</v>
      </c>
      <c r="E77" s="13" t="s">
        <v>290</v>
      </c>
      <c r="F77" s="13" t="s">
        <v>50</v>
      </c>
      <c r="G77" s="13" t="s">
        <v>36</v>
      </c>
      <c r="H77" s="13" t="s">
        <v>136</v>
      </c>
      <c r="I77" s="13" t="s">
        <v>52</v>
      </c>
      <c r="J77" s="13" t="s">
        <v>82</v>
      </c>
      <c r="K77" s="13" t="s">
        <v>206</v>
      </c>
      <c r="L77" s="15">
        <v>1121.67</v>
      </c>
      <c r="M77" s="13">
        <v>9</v>
      </c>
      <c r="N77" s="16">
        <v>0</v>
      </c>
      <c r="O77" s="15">
        <v>256.47000000000003</v>
      </c>
      <c r="P77" s="17">
        <f t="shared" si="1"/>
        <v>0.22865013774104684</v>
      </c>
    </row>
    <row r="78" spans="1:16" ht="15" customHeight="1" x14ac:dyDescent="0.25">
      <c r="A78" s="8" t="s">
        <v>291</v>
      </c>
      <c r="B78" s="9">
        <v>44848</v>
      </c>
      <c r="C78" s="9">
        <v>44849</v>
      </c>
      <c r="D78" s="8" t="s">
        <v>292</v>
      </c>
      <c r="E78" s="8" t="s">
        <v>98</v>
      </c>
      <c r="F78" s="8" t="s">
        <v>50</v>
      </c>
      <c r="G78" s="8" t="s">
        <v>43</v>
      </c>
      <c r="H78" s="8" t="s">
        <v>51</v>
      </c>
      <c r="I78" s="8" t="s">
        <v>52</v>
      </c>
      <c r="J78" s="8" t="s">
        <v>53</v>
      </c>
      <c r="K78" s="8" t="s">
        <v>199</v>
      </c>
      <c r="L78" s="10">
        <v>548.85</v>
      </c>
      <c r="M78" s="8">
        <v>2</v>
      </c>
      <c r="N78" s="11">
        <v>0.15</v>
      </c>
      <c r="O78" s="10">
        <v>172.27</v>
      </c>
      <c r="P78" s="12">
        <f t="shared" si="1"/>
        <v>0.31387446479001552</v>
      </c>
    </row>
    <row r="79" spans="1:16" ht="15" customHeight="1" x14ac:dyDescent="0.25">
      <c r="A79" s="13" t="s">
        <v>293</v>
      </c>
      <c r="B79" s="14">
        <v>44844</v>
      </c>
      <c r="C79" s="14">
        <v>44846</v>
      </c>
      <c r="D79" s="13" t="s">
        <v>294</v>
      </c>
      <c r="E79" s="13" t="s">
        <v>212</v>
      </c>
      <c r="F79" s="13" t="s">
        <v>19</v>
      </c>
      <c r="G79" s="13" t="s">
        <v>20</v>
      </c>
      <c r="H79" s="13" t="s">
        <v>167</v>
      </c>
      <c r="I79" s="13" t="s">
        <v>30</v>
      </c>
      <c r="J79" s="13" t="s">
        <v>60</v>
      </c>
      <c r="K79" s="13" t="s">
        <v>61</v>
      </c>
      <c r="L79" s="15">
        <v>231.7</v>
      </c>
      <c r="M79" s="13">
        <v>10</v>
      </c>
      <c r="N79" s="16">
        <v>0</v>
      </c>
      <c r="O79" s="15">
        <v>58.69</v>
      </c>
      <c r="P79" s="17">
        <f t="shared" si="1"/>
        <v>0.25330168321104879</v>
      </c>
    </row>
    <row r="80" spans="1:16" ht="15" customHeight="1" x14ac:dyDescent="0.25">
      <c r="A80" s="8" t="s">
        <v>295</v>
      </c>
      <c r="B80" s="9">
        <v>44632</v>
      </c>
      <c r="C80" s="9">
        <v>44639</v>
      </c>
      <c r="D80" s="8" t="s">
        <v>296</v>
      </c>
      <c r="E80" s="8" t="s">
        <v>128</v>
      </c>
      <c r="F80" s="8" t="s">
        <v>19</v>
      </c>
      <c r="G80" s="8" t="s">
        <v>36</v>
      </c>
      <c r="H80" s="8" t="s">
        <v>136</v>
      </c>
      <c r="I80" s="8" t="s">
        <v>52</v>
      </c>
      <c r="J80" s="8" t="s">
        <v>53</v>
      </c>
      <c r="K80" s="8" t="s">
        <v>54</v>
      </c>
      <c r="L80" s="10">
        <v>243.69</v>
      </c>
      <c r="M80" s="8">
        <v>1</v>
      </c>
      <c r="N80" s="11">
        <v>0</v>
      </c>
      <c r="O80" s="10">
        <v>49.5</v>
      </c>
      <c r="P80" s="12">
        <f t="shared" si="1"/>
        <v>0.20312692355041242</v>
      </c>
    </row>
    <row r="81" spans="1:16" ht="15" customHeight="1" x14ac:dyDescent="0.25">
      <c r="A81" s="13" t="s">
        <v>297</v>
      </c>
      <c r="B81" s="14">
        <v>44674</v>
      </c>
      <c r="C81" s="14">
        <v>44680</v>
      </c>
      <c r="D81" s="13" t="s">
        <v>298</v>
      </c>
      <c r="E81" s="13" t="s">
        <v>35</v>
      </c>
      <c r="F81" s="13" t="s">
        <v>19</v>
      </c>
      <c r="G81" s="13" t="s">
        <v>20</v>
      </c>
      <c r="H81" s="13" t="s">
        <v>29</v>
      </c>
      <c r="I81" s="13" t="s">
        <v>52</v>
      </c>
      <c r="J81" s="13" t="s">
        <v>53</v>
      </c>
      <c r="K81" s="13" t="s">
        <v>54</v>
      </c>
      <c r="L81" s="15">
        <v>1157.1099999999999</v>
      </c>
      <c r="M81" s="13">
        <v>6</v>
      </c>
      <c r="N81" s="16">
        <v>0.1</v>
      </c>
      <c r="O81" s="15">
        <v>505.54</v>
      </c>
      <c r="P81" s="17">
        <f t="shared" si="1"/>
        <v>0.43689882552220627</v>
      </c>
    </row>
    <row r="82" spans="1:16" ht="15" customHeight="1" x14ac:dyDescent="0.25">
      <c r="A82" s="8" t="s">
        <v>299</v>
      </c>
      <c r="B82" s="9">
        <v>44627</v>
      </c>
      <c r="C82" s="9">
        <v>44631</v>
      </c>
      <c r="D82" s="8" t="s">
        <v>300</v>
      </c>
      <c r="E82" s="8" t="s">
        <v>287</v>
      </c>
      <c r="F82" s="8" t="s">
        <v>28</v>
      </c>
      <c r="G82" s="8" t="s">
        <v>58</v>
      </c>
      <c r="H82" s="8" t="s">
        <v>59</v>
      </c>
      <c r="I82" s="8" t="s">
        <v>30</v>
      </c>
      <c r="J82" s="8" t="s">
        <v>114</v>
      </c>
      <c r="K82" s="8" t="s">
        <v>236</v>
      </c>
      <c r="L82" s="10">
        <v>102.6</v>
      </c>
      <c r="M82" s="8">
        <v>9</v>
      </c>
      <c r="N82" s="11">
        <v>0</v>
      </c>
      <c r="O82" s="10">
        <v>27.52</v>
      </c>
      <c r="P82" s="12">
        <f t="shared" si="1"/>
        <v>0.26822612085769981</v>
      </c>
    </row>
    <row r="83" spans="1:16" ht="15" customHeight="1" x14ac:dyDescent="0.25">
      <c r="A83" s="13" t="s">
        <v>301</v>
      </c>
      <c r="B83" s="14">
        <v>45220</v>
      </c>
      <c r="C83" s="14">
        <v>45221</v>
      </c>
      <c r="D83" s="13" t="s">
        <v>302</v>
      </c>
      <c r="E83" s="13" t="s">
        <v>80</v>
      </c>
      <c r="F83" s="13" t="s">
        <v>50</v>
      </c>
      <c r="G83" s="13" t="s">
        <v>20</v>
      </c>
      <c r="H83" s="13" t="s">
        <v>167</v>
      </c>
      <c r="I83" s="13" t="s">
        <v>52</v>
      </c>
      <c r="J83" s="13" t="s">
        <v>264</v>
      </c>
      <c r="K83" s="13" t="s">
        <v>265</v>
      </c>
      <c r="L83" s="15">
        <v>1271.5999999999999</v>
      </c>
      <c r="M83" s="13">
        <v>8</v>
      </c>
      <c r="N83" s="16">
        <v>0</v>
      </c>
      <c r="O83" s="15">
        <v>469.82</v>
      </c>
      <c r="P83" s="17">
        <f t="shared" si="1"/>
        <v>0.36947153192827936</v>
      </c>
    </row>
    <row r="84" spans="1:16" ht="15" customHeight="1" x14ac:dyDescent="0.25">
      <c r="A84" s="8" t="s">
        <v>303</v>
      </c>
      <c r="B84" s="9">
        <v>44843</v>
      </c>
      <c r="C84" s="9">
        <v>44848</v>
      </c>
      <c r="D84" s="8" t="s">
        <v>304</v>
      </c>
      <c r="E84" s="8" t="s">
        <v>49</v>
      </c>
      <c r="F84" s="8" t="s">
        <v>28</v>
      </c>
      <c r="G84" s="8" t="s">
        <v>43</v>
      </c>
      <c r="H84" s="8" t="s">
        <v>129</v>
      </c>
      <c r="I84" s="8" t="s">
        <v>30</v>
      </c>
      <c r="J84" s="8" t="s">
        <v>162</v>
      </c>
      <c r="K84" s="8" t="s">
        <v>305</v>
      </c>
      <c r="L84" s="10">
        <v>555.57000000000005</v>
      </c>
      <c r="M84" s="8">
        <v>9</v>
      </c>
      <c r="N84" s="11">
        <v>0</v>
      </c>
      <c r="O84" s="10">
        <v>139.85</v>
      </c>
      <c r="P84" s="12">
        <f t="shared" si="1"/>
        <v>0.25172345519016504</v>
      </c>
    </row>
    <row r="85" spans="1:16" ht="15" customHeight="1" x14ac:dyDescent="0.25">
      <c r="A85" s="13" t="s">
        <v>306</v>
      </c>
      <c r="B85" s="14">
        <v>45002</v>
      </c>
      <c r="C85" s="14">
        <v>45006</v>
      </c>
      <c r="D85" s="13" t="s">
        <v>307</v>
      </c>
      <c r="E85" s="13" t="s">
        <v>71</v>
      </c>
      <c r="F85" s="13" t="s">
        <v>50</v>
      </c>
      <c r="G85" s="13" t="s">
        <v>36</v>
      </c>
      <c r="H85" s="13" t="s">
        <v>174</v>
      </c>
      <c r="I85" s="13" t="s">
        <v>52</v>
      </c>
      <c r="J85" s="13" t="s">
        <v>153</v>
      </c>
      <c r="K85" s="13" t="s">
        <v>154</v>
      </c>
      <c r="L85" s="15">
        <v>151.57</v>
      </c>
      <c r="M85" s="13">
        <v>2</v>
      </c>
      <c r="N85" s="16">
        <v>0.15</v>
      </c>
      <c r="O85" s="15">
        <v>43</v>
      </c>
      <c r="P85" s="17">
        <f t="shared" si="1"/>
        <v>0.28369730157682921</v>
      </c>
    </row>
    <row r="86" spans="1:16" ht="15" customHeight="1" x14ac:dyDescent="0.25">
      <c r="A86" s="8" t="s">
        <v>308</v>
      </c>
      <c r="B86" s="9">
        <v>44630</v>
      </c>
      <c r="C86" s="9">
        <v>44631</v>
      </c>
      <c r="D86" s="8" t="s">
        <v>309</v>
      </c>
      <c r="E86" s="8" t="s">
        <v>57</v>
      </c>
      <c r="F86" s="8" t="s">
        <v>50</v>
      </c>
      <c r="G86" s="8" t="s">
        <v>20</v>
      </c>
      <c r="H86" s="8" t="s">
        <v>99</v>
      </c>
      <c r="I86" s="8" t="s">
        <v>22</v>
      </c>
      <c r="J86" s="8" t="s">
        <v>76</v>
      </c>
      <c r="K86" s="8" t="s">
        <v>91</v>
      </c>
      <c r="L86" s="10">
        <v>5702.62</v>
      </c>
      <c r="M86" s="8">
        <v>9</v>
      </c>
      <c r="N86" s="11">
        <v>0.15</v>
      </c>
      <c r="O86" s="10">
        <v>1610.97</v>
      </c>
      <c r="P86" s="12">
        <f t="shared" si="1"/>
        <v>0.28249646653643412</v>
      </c>
    </row>
    <row r="87" spans="1:16" ht="15" customHeight="1" x14ac:dyDescent="0.25">
      <c r="A87" s="13" t="s">
        <v>310</v>
      </c>
      <c r="B87" s="14">
        <v>44614</v>
      </c>
      <c r="C87" s="14">
        <v>44617</v>
      </c>
      <c r="D87" s="13" t="s">
        <v>311</v>
      </c>
      <c r="E87" s="13" t="s">
        <v>312</v>
      </c>
      <c r="F87" s="13" t="s">
        <v>19</v>
      </c>
      <c r="G87" s="13" t="s">
        <v>43</v>
      </c>
      <c r="H87" s="13" t="s">
        <v>44</v>
      </c>
      <c r="I87" s="13" t="s">
        <v>30</v>
      </c>
      <c r="J87" s="13" t="s">
        <v>60</v>
      </c>
      <c r="K87" s="13" t="s">
        <v>313</v>
      </c>
      <c r="L87" s="15">
        <v>136.96</v>
      </c>
      <c r="M87" s="13">
        <v>8</v>
      </c>
      <c r="N87" s="16">
        <v>0</v>
      </c>
      <c r="O87" s="15">
        <v>49.64</v>
      </c>
      <c r="P87" s="17">
        <f t="shared" si="1"/>
        <v>0.36244158878504673</v>
      </c>
    </row>
    <row r="88" spans="1:16" ht="15" customHeight="1" x14ac:dyDescent="0.25">
      <c r="A88" s="8" t="s">
        <v>314</v>
      </c>
      <c r="B88" s="9">
        <v>45149</v>
      </c>
      <c r="C88" s="9">
        <v>45151</v>
      </c>
      <c r="D88" s="8" t="s">
        <v>315</v>
      </c>
      <c r="E88" s="8" t="s">
        <v>316</v>
      </c>
      <c r="F88" s="8" t="s">
        <v>28</v>
      </c>
      <c r="G88" s="8" t="s">
        <v>58</v>
      </c>
      <c r="H88" s="8" t="s">
        <v>81</v>
      </c>
      <c r="I88" s="8" t="s">
        <v>30</v>
      </c>
      <c r="J88" s="8" t="s">
        <v>162</v>
      </c>
      <c r="K88" s="8" t="s">
        <v>163</v>
      </c>
      <c r="L88" s="10">
        <v>144.47999999999999</v>
      </c>
      <c r="M88" s="8">
        <v>3</v>
      </c>
      <c r="N88" s="11">
        <v>0.1</v>
      </c>
      <c r="O88" s="10">
        <v>31.73</v>
      </c>
      <c r="P88" s="12">
        <f t="shared" si="1"/>
        <v>0.2196151716500554</v>
      </c>
    </row>
    <row r="89" spans="1:16" ht="15" customHeight="1" x14ac:dyDescent="0.25">
      <c r="A89" s="13" t="s">
        <v>317</v>
      </c>
      <c r="B89" s="14">
        <v>44708</v>
      </c>
      <c r="C89" s="14">
        <v>44713</v>
      </c>
      <c r="D89" s="13" t="s">
        <v>318</v>
      </c>
      <c r="E89" s="13" t="s">
        <v>319</v>
      </c>
      <c r="F89" s="13" t="s">
        <v>19</v>
      </c>
      <c r="G89" s="13" t="s">
        <v>58</v>
      </c>
      <c r="H89" s="13" t="s">
        <v>81</v>
      </c>
      <c r="I89" s="13" t="s">
        <v>30</v>
      </c>
      <c r="J89" s="13" t="s">
        <v>114</v>
      </c>
      <c r="K89" s="13" t="s">
        <v>115</v>
      </c>
      <c r="L89" s="15">
        <v>81.790000000000006</v>
      </c>
      <c r="M89" s="13">
        <v>9</v>
      </c>
      <c r="N89" s="16">
        <v>0.2</v>
      </c>
      <c r="O89" s="15">
        <v>27.53</v>
      </c>
      <c r="P89" s="17">
        <f t="shared" si="1"/>
        <v>0.33659371561315565</v>
      </c>
    </row>
    <row r="90" spans="1:16" ht="15" customHeight="1" x14ac:dyDescent="0.25">
      <c r="A90" s="8" t="s">
        <v>320</v>
      </c>
      <c r="B90" s="9">
        <v>44894</v>
      </c>
      <c r="C90" s="9">
        <v>44901</v>
      </c>
      <c r="D90" s="8" t="s">
        <v>321</v>
      </c>
      <c r="E90" s="8" t="s">
        <v>42</v>
      </c>
      <c r="F90" s="8" t="s">
        <v>19</v>
      </c>
      <c r="G90" s="8" t="s">
        <v>20</v>
      </c>
      <c r="H90" s="8" t="s">
        <v>99</v>
      </c>
      <c r="I90" s="8" t="s">
        <v>22</v>
      </c>
      <c r="J90" s="8" t="s">
        <v>45</v>
      </c>
      <c r="K90" s="8" t="s">
        <v>72</v>
      </c>
      <c r="L90" s="10">
        <v>700.16</v>
      </c>
      <c r="M90" s="8">
        <v>2</v>
      </c>
      <c r="N90" s="11">
        <v>0.2</v>
      </c>
      <c r="O90" s="10">
        <v>230.06</v>
      </c>
      <c r="P90" s="12">
        <f t="shared" si="1"/>
        <v>0.32858203839122491</v>
      </c>
    </row>
    <row r="91" spans="1:16" ht="15" customHeight="1" x14ac:dyDescent="0.25">
      <c r="A91" s="13" t="s">
        <v>322</v>
      </c>
      <c r="B91" s="14">
        <v>44782</v>
      </c>
      <c r="C91" s="14">
        <v>44789</v>
      </c>
      <c r="D91" s="13" t="s">
        <v>323</v>
      </c>
      <c r="E91" s="13" t="s">
        <v>113</v>
      </c>
      <c r="F91" s="13" t="s">
        <v>50</v>
      </c>
      <c r="G91" s="13" t="s">
        <v>20</v>
      </c>
      <c r="H91" s="13" t="s">
        <v>21</v>
      </c>
      <c r="I91" s="13" t="s">
        <v>22</v>
      </c>
      <c r="J91" s="13" t="s">
        <v>76</v>
      </c>
      <c r="K91" s="13" t="s">
        <v>77</v>
      </c>
      <c r="L91" s="15">
        <v>8177.76</v>
      </c>
      <c r="M91" s="13">
        <v>10</v>
      </c>
      <c r="N91" s="16">
        <v>0.1</v>
      </c>
      <c r="O91" s="15">
        <v>3587.14</v>
      </c>
      <c r="P91" s="17">
        <f t="shared" si="1"/>
        <v>0.43864579053432723</v>
      </c>
    </row>
    <row r="92" spans="1:16" ht="15" customHeight="1" x14ac:dyDescent="0.25">
      <c r="A92" s="8" t="s">
        <v>324</v>
      </c>
      <c r="B92" s="9">
        <v>44569</v>
      </c>
      <c r="C92" s="9">
        <v>44571</v>
      </c>
      <c r="D92" s="8" t="s">
        <v>325</v>
      </c>
      <c r="E92" s="8" t="s">
        <v>49</v>
      </c>
      <c r="F92" s="8" t="s">
        <v>19</v>
      </c>
      <c r="G92" s="8" t="s">
        <v>43</v>
      </c>
      <c r="H92" s="8" t="s">
        <v>51</v>
      </c>
      <c r="I92" s="8" t="s">
        <v>52</v>
      </c>
      <c r="J92" s="8" t="s">
        <v>82</v>
      </c>
      <c r="K92" s="8" t="s">
        <v>100</v>
      </c>
      <c r="L92" s="10">
        <v>163.87</v>
      </c>
      <c r="M92" s="8">
        <v>2</v>
      </c>
      <c r="N92" s="11">
        <v>0.2</v>
      </c>
      <c r="O92" s="10">
        <v>66.540000000000006</v>
      </c>
      <c r="P92" s="12">
        <f t="shared" si="1"/>
        <v>0.40605357905656925</v>
      </c>
    </row>
    <row r="93" spans="1:16" ht="15" customHeight="1" x14ac:dyDescent="0.25">
      <c r="A93" s="13" t="s">
        <v>326</v>
      </c>
      <c r="B93" s="14">
        <v>45074</v>
      </c>
      <c r="C93" s="14">
        <v>45079</v>
      </c>
      <c r="D93" s="13" t="s">
        <v>327</v>
      </c>
      <c r="E93" s="13" t="s">
        <v>170</v>
      </c>
      <c r="F93" s="13" t="s">
        <v>50</v>
      </c>
      <c r="G93" s="13" t="s">
        <v>43</v>
      </c>
      <c r="H93" s="13" t="s">
        <v>95</v>
      </c>
      <c r="I93" s="13" t="s">
        <v>30</v>
      </c>
      <c r="J93" s="13" t="s">
        <v>114</v>
      </c>
      <c r="K93" s="13" t="s">
        <v>236</v>
      </c>
      <c r="L93" s="15">
        <v>12.68</v>
      </c>
      <c r="M93" s="13">
        <v>1</v>
      </c>
      <c r="N93" s="16">
        <v>0</v>
      </c>
      <c r="O93" s="15">
        <v>2.97</v>
      </c>
      <c r="P93" s="17">
        <f t="shared" si="1"/>
        <v>0.23422712933753945</v>
      </c>
    </row>
    <row r="94" spans="1:16" ht="15" customHeight="1" x14ac:dyDescent="0.25">
      <c r="A94" s="8" t="s">
        <v>328</v>
      </c>
      <c r="B94" s="9">
        <v>45288</v>
      </c>
      <c r="C94" s="9">
        <v>45294</v>
      </c>
      <c r="D94" s="8" t="s">
        <v>329</v>
      </c>
      <c r="E94" s="8" t="s">
        <v>166</v>
      </c>
      <c r="F94" s="8" t="s">
        <v>19</v>
      </c>
      <c r="G94" s="8" t="s">
        <v>58</v>
      </c>
      <c r="H94" s="8" t="s">
        <v>59</v>
      </c>
      <c r="I94" s="8" t="s">
        <v>52</v>
      </c>
      <c r="J94" s="8" t="s">
        <v>264</v>
      </c>
      <c r="K94" s="8" t="s">
        <v>265</v>
      </c>
      <c r="L94" s="10">
        <v>457.61</v>
      </c>
      <c r="M94" s="8">
        <v>3</v>
      </c>
      <c r="N94" s="11">
        <v>0.3</v>
      </c>
      <c r="O94" s="10">
        <v>110.74</v>
      </c>
      <c r="P94" s="12">
        <f t="shared" si="1"/>
        <v>0.24199645986757282</v>
      </c>
    </row>
    <row r="95" spans="1:16" ht="15" customHeight="1" x14ac:dyDescent="0.25">
      <c r="A95" s="13" t="s">
        <v>330</v>
      </c>
      <c r="B95" s="14">
        <v>44670</v>
      </c>
      <c r="C95" s="14">
        <v>44672</v>
      </c>
      <c r="D95" s="13" t="s">
        <v>331</v>
      </c>
      <c r="E95" s="13" t="s">
        <v>49</v>
      </c>
      <c r="F95" s="13" t="s">
        <v>28</v>
      </c>
      <c r="G95" s="13" t="s">
        <v>58</v>
      </c>
      <c r="H95" s="13" t="s">
        <v>181</v>
      </c>
      <c r="I95" s="13" t="s">
        <v>22</v>
      </c>
      <c r="J95" s="13" t="s">
        <v>38</v>
      </c>
      <c r="K95" s="13" t="s">
        <v>107</v>
      </c>
      <c r="L95" s="15">
        <v>1823.46</v>
      </c>
      <c r="M95" s="13">
        <v>6</v>
      </c>
      <c r="N95" s="16">
        <v>0</v>
      </c>
      <c r="O95" s="15">
        <v>785.74</v>
      </c>
      <c r="P95" s="17">
        <f t="shared" si="1"/>
        <v>0.43090607965077382</v>
      </c>
    </row>
    <row r="96" spans="1:16" ht="15" customHeight="1" x14ac:dyDescent="0.25">
      <c r="A96" s="8" t="s">
        <v>332</v>
      </c>
      <c r="B96" s="9">
        <v>44919</v>
      </c>
      <c r="C96" s="9">
        <v>44922</v>
      </c>
      <c r="D96" s="8" t="s">
        <v>333</v>
      </c>
      <c r="E96" s="8" t="s">
        <v>198</v>
      </c>
      <c r="F96" s="8" t="s">
        <v>19</v>
      </c>
      <c r="G96" s="8" t="s">
        <v>36</v>
      </c>
      <c r="H96" s="8" t="s">
        <v>136</v>
      </c>
      <c r="I96" s="8" t="s">
        <v>22</v>
      </c>
      <c r="J96" s="8" t="s">
        <v>76</v>
      </c>
      <c r="K96" s="8" t="s">
        <v>91</v>
      </c>
      <c r="L96" s="10">
        <v>2858.76</v>
      </c>
      <c r="M96" s="8">
        <v>3</v>
      </c>
      <c r="N96" s="11">
        <v>0</v>
      </c>
      <c r="O96" s="10">
        <v>1159.8399999999999</v>
      </c>
      <c r="P96" s="12">
        <f t="shared" si="1"/>
        <v>0.4057143656690313</v>
      </c>
    </row>
    <row r="97" spans="1:16" ht="15" customHeight="1" x14ac:dyDescent="0.25">
      <c r="A97" s="13" t="s">
        <v>334</v>
      </c>
      <c r="B97" s="14">
        <v>45259</v>
      </c>
      <c r="C97" s="14">
        <v>45264</v>
      </c>
      <c r="D97" s="13" t="s">
        <v>335</v>
      </c>
      <c r="E97" s="13" t="s">
        <v>35</v>
      </c>
      <c r="F97" s="13" t="s">
        <v>19</v>
      </c>
      <c r="G97" s="13" t="s">
        <v>43</v>
      </c>
      <c r="H97" s="13" t="s">
        <v>44</v>
      </c>
      <c r="I97" s="13" t="s">
        <v>52</v>
      </c>
      <c r="J97" s="13" t="s">
        <v>264</v>
      </c>
      <c r="K97" s="13" t="s">
        <v>265</v>
      </c>
      <c r="L97" s="15">
        <v>1469.81</v>
      </c>
      <c r="M97" s="13">
        <v>8</v>
      </c>
      <c r="N97" s="16">
        <v>0.1</v>
      </c>
      <c r="O97" s="15">
        <v>444.1</v>
      </c>
      <c r="P97" s="17">
        <f t="shared" si="1"/>
        <v>0.30214789666691616</v>
      </c>
    </row>
    <row r="98" spans="1:16" ht="15" customHeight="1" x14ac:dyDescent="0.25">
      <c r="A98" s="8" t="s">
        <v>336</v>
      </c>
      <c r="B98" s="9">
        <v>44879</v>
      </c>
      <c r="C98" s="9">
        <v>44883</v>
      </c>
      <c r="D98" s="8" t="s">
        <v>337</v>
      </c>
      <c r="E98" s="8" t="s">
        <v>139</v>
      </c>
      <c r="F98" s="8" t="s">
        <v>19</v>
      </c>
      <c r="G98" s="8" t="s">
        <v>58</v>
      </c>
      <c r="H98" s="8" t="s">
        <v>81</v>
      </c>
      <c r="I98" s="8" t="s">
        <v>52</v>
      </c>
      <c r="J98" s="8" t="s">
        <v>82</v>
      </c>
      <c r="K98" s="8" t="s">
        <v>83</v>
      </c>
      <c r="L98" s="10">
        <v>216.34</v>
      </c>
      <c r="M98" s="8">
        <v>2</v>
      </c>
      <c r="N98" s="11">
        <v>0.2</v>
      </c>
      <c r="O98" s="10">
        <v>72.33</v>
      </c>
      <c r="P98" s="12">
        <f t="shared" si="1"/>
        <v>0.33433484330220947</v>
      </c>
    </row>
    <row r="99" spans="1:16" ht="15" customHeight="1" x14ac:dyDescent="0.25">
      <c r="A99" s="13" t="s">
        <v>338</v>
      </c>
      <c r="B99" s="14">
        <v>44891</v>
      </c>
      <c r="C99" s="14">
        <v>44896</v>
      </c>
      <c r="D99" s="13" t="s">
        <v>339</v>
      </c>
      <c r="E99" s="13" t="s">
        <v>340</v>
      </c>
      <c r="F99" s="13" t="s">
        <v>19</v>
      </c>
      <c r="G99" s="13" t="s">
        <v>58</v>
      </c>
      <c r="H99" s="13" t="s">
        <v>87</v>
      </c>
      <c r="I99" s="13" t="s">
        <v>52</v>
      </c>
      <c r="J99" s="13" t="s">
        <v>264</v>
      </c>
      <c r="K99" s="13" t="s">
        <v>265</v>
      </c>
      <c r="L99" s="15">
        <v>387.74</v>
      </c>
      <c r="M99" s="13">
        <v>2</v>
      </c>
      <c r="N99" s="16">
        <v>0</v>
      </c>
      <c r="O99" s="15">
        <v>170.69</v>
      </c>
      <c r="P99" s="17">
        <f t="shared" si="1"/>
        <v>0.44021767163563214</v>
      </c>
    </row>
    <row r="100" spans="1:16" ht="15" customHeight="1" x14ac:dyDescent="0.25">
      <c r="A100" s="8" t="s">
        <v>341</v>
      </c>
      <c r="B100" s="9">
        <v>44934</v>
      </c>
      <c r="C100" s="9">
        <v>44937</v>
      </c>
      <c r="D100" s="8" t="s">
        <v>342</v>
      </c>
      <c r="E100" s="8" t="s">
        <v>343</v>
      </c>
      <c r="F100" s="8" t="s">
        <v>50</v>
      </c>
      <c r="G100" s="8" t="s">
        <v>43</v>
      </c>
      <c r="H100" s="8" t="s">
        <v>129</v>
      </c>
      <c r="I100" s="8" t="s">
        <v>52</v>
      </c>
      <c r="J100" s="8" t="s">
        <v>264</v>
      </c>
      <c r="K100" s="8" t="s">
        <v>344</v>
      </c>
      <c r="L100" s="10">
        <v>950.04</v>
      </c>
      <c r="M100" s="8">
        <v>6</v>
      </c>
      <c r="N100" s="11">
        <v>0</v>
      </c>
      <c r="O100" s="10">
        <v>295</v>
      </c>
      <c r="P100" s="12">
        <f t="shared" si="1"/>
        <v>0.31051324154772431</v>
      </c>
    </row>
    <row r="101" spans="1:16" ht="15" customHeight="1" x14ac:dyDescent="0.25">
      <c r="A101" s="13" t="s">
        <v>345</v>
      </c>
      <c r="B101" s="14">
        <v>45234</v>
      </c>
      <c r="C101" s="14">
        <v>45239</v>
      </c>
      <c r="D101" s="13" t="s">
        <v>346</v>
      </c>
      <c r="E101" s="13" t="s">
        <v>64</v>
      </c>
      <c r="F101" s="13" t="s">
        <v>19</v>
      </c>
      <c r="G101" s="13" t="s">
        <v>36</v>
      </c>
      <c r="H101" s="13" t="s">
        <v>37</v>
      </c>
      <c r="I101" s="13" t="s">
        <v>30</v>
      </c>
      <c r="J101" s="13" t="s">
        <v>60</v>
      </c>
      <c r="K101" s="13" t="s">
        <v>140</v>
      </c>
      <c r="L101" s="15">
        <v>92.56</v>
      </c>
      <c r="M101" s="13">
        <v>5</v>
      </c>
      <c r="N101" s="16">
        <v>0.2</v>
      </c>
      <c r="O101" s="15">
        <v>38.67</v>
      </c>
      <c r="P101" s="17">
        <f t="shared" si="1"/>
        <v>0.41778305963699225</v>
      </c>
    </row>
    <row r="102" spans="1:16" ht="15" customHeight="1" x14ac:dyDescent="0.25">
      <c r="A102" s="8" t="s">
        <v>347</v>
      </c>
      <c r="B102" s="9">
        <v>45220</v>
      </c>
      <c r="C102" s="9">
        <v>45227</v>
      </c>
      <c r="D102" s="8" t="s">
        <v>348</v>
      </c>
      <c r="E102" s="8" t="s">
        <v>349</v>
      </c>
      <c r="F102" s="8" t="s">
        <v>28</v>
      </c>
      <c r="G102" s="8" t="s">
        <v>43</v>
      </c>
      <c r="H102" s="8" t="s">
        <v>51</v>
      </c>
      <c r="I102" s="8" t="s">
        <v>30</v>
      </c>
      <c r="J102" s="8" t="s">
        <v>114</v>
      </c>
      <c r="K102" s="8" t="s">
        <v>350</v>
      </c>
      <c r="L102" s="10">
        <v>90.65</v>
      </c>
      <c r="M102" s="8">
        <v>7</v>
      </c>
      <c r="N102" s="11">
        <v>0</v>
      </c>
      <c r="O102" s="10">
        <v>32.58</v>
      </c>
      <c r="P102" s="12">
        <f t="shared" si="1"/>
        <v>0.3594043022614451</v>
      </c>
    </row>
    <row r="103" spans="1:16" ht="15" customHeight="1" x14ac:dyDescent="0.25">
      <c r="A103" s="13" t="s">
        <v>351</v>
      </c>
      <c r="B103" s="14">
        <v>45059</v>
      </c>
      <c r="C103" s="14">
        <v>45061</v>
      </c>
      <c r="D103" s="13" t="s">
        <v>352</v>
      </c>
      <c r="E103" s="13" t="s">
        <v>170</v>
      </c>
      <c r="F103" s="13" t="s">
        <v>19</v>
      </c>
      <c r="G103" s="13" t="s">
        <v>36</v>
      </c>
      <c r="H103" s="13" t="s">
        <v>136</v>
      </c>
      <c r="I103" s="13" t="s">
        <v>22</v>
      </c>
      <c r="J103" s="13" t="s">
        <v>76</v>
      </c>
      <c r="K103" s="13" t="s">
        <v>91</v>
      </c>
      <c r="L103" s="15">
        <v>9156.24</v>
      </c>
      <c r="M103" s="13">
        <v>9</v>
      </c>
      <c r="N103" s="16">
        <v>0</v>
      </c>
      <c r="O103" s="15">
        <v>2605.11</v>
      </c>
      <c r="P103" s="17">
        <f t="shared" si="1"/>
        <v>0.2845174438415769</v>
      </c>
    </row>
    <row r="104" spans="1:16" ht="15" customHeight="1" x14ac:dyDescent="0.25">
      <c r="A104" s="8" t="s">
        <v>353</v>
      </c>
      <c r="B104" s="9">
        <v>44719</v>
      </c>
      <c r="C104" s="9">
        <v>44721</v>
      </c>
      <c r="D104" s="8" t="s">
        <v>354</v>
      </c>
      <c r="E104" s="8" t="s">
        <v>139</v>
      </c>
      <c r="F104" s="8" t="s">
        <v>28</v>
      </c>
      <c r="G104" s="8" t="s">
        <v>36</v>
      </c>
      <c r="H104" s="8" t="s">
        <v>136</v>
      </c>
      <c r="I104" s="8" t="s">
        <v>52</v>
      </c>
      <c r="J104" s="8" t="s">
        <v>264</v>
      </c>
      <c r="K104" s="8" t="s">
        <v>265</v>
      </c>
      <c r="L104" s="10">
        <v>1184.4000000000001</v>
      </c>
      <c r="M104" s="8">
        <v>6</v>
      </c>
      <c r="N104" s="11">
        <v>0.05</v>
      </c>
      <c r="O104" s="10">
        <v>245.88</v>
      </c>
      <c r="P104" s="12">
        <f t="shared" si="1"/>
        <v>0.20759878419452885</v>
      </c>
    </row>
    <row r="105" spans="1:16" ht="15" customHeight="1" x14ac:dyDescent="0.25">
      <c r="A105" s="13" t="s">
        <v>355</v>
      </c>
      <c r="B105" s="14">
        <v>45108</v>
      </c>
      <c r="C105" s="14">
        <v>45110</v>
      </c>
      <c r="D105" s="13" t="s">
        <v>356</v>
      </c>
      <c r="E105" s="13" t="s">
        <v>263</v>
      </c>
      <c r="F105" s="13" t="s">
        <v>19</v>
      </c>
      <c r="G105" s="13" t="s">
        <v>43</v>
      </c>
      <c r="H105" s="13" t="s">
        <v>129</v>
      </c>
      <c r="I105" s="13" t="s">
        <v>52</v>
      </c>
      <c r="J105" s="13" t="s">
        <v>153</v>
      </c>
      <c r="K105" s="13" t="s">
        <v>154</v>
      </c>
      <c r="L105" s="15">
        <v>432.04</v>
      </c>
      <c r="M105" s="13">
        <v>5</v>
      </c>
      <c r="N105" s="16">
        <v>0.2</v>
      </c>
      <c r="O105" s="15">
        <v>90.05</v>
      </c>
      <c r="P105" s="17">
        <f t="shared" si="1"/>
        <v>0.20842977502083138</v>
      </c>
    </row>
    <row r="106" spans="1:16" ht="15" customHeight="1" x14ac:dyDescent="0.25">
      <c r="A106" s="8" t="s">
        <v>357</v>
      </c>
      <c r="B106" s="9">
        <v>44818</v>
      </c>
      <c r="C106" s="9">
        <v>44819</v>
      </c>
      <c r="D106" s="8" t="s">
        <v>358</v>
      </c>
      <c r="E106" s="8" t="s">
        <v>359</v>
      </c>
      <c r="F106" s="8" t="s">
        <v>28</v>
      </c>
      <c r="G106" s="8" t="s">
        <v>58</v>
      </c>
      <c r="H106" s="8" t="s">
        <v>59</v>
      </c>
      <c r="I106" s="8" t="s">
        <v>22</v>
      </c>
      <c r="J106" s="8" t="s">
        <v>45</v>
      </c>
      <c r="K106" s="8" t="s">
        <v>171</v>
      </c>
      <c r="L106" s="10">
        <v>966.65</v>
      </c>
      <c r="M106" s="8">
        <v>2</v>
      </c>
      <c r="N106" s="11">
        <v>0.1</v>
      </c>
      <c r="O106" s="10">
        <v>326.41000000000003</v>
      </c>
      <c r="P106" s="12">
        <f t="shared" si="1"/>
        <v>0.33767133916102005</v>
      </c>
    </row>
    <row r="107" spans="1:16" ht="15" customHeight="1" x14ac:dyDescent="0.25">
      <c r="A107" s="13" t="s">
        <v>360</v>
      </c>
      <c r="B107" s="14">
        <v>44655</v>
      </c>
      <c r="C107" s="14">
        <v>44657</v>
      </c>
      <c r="D107" s="13" t="s">
        <v>361</v>
      </c>
      <c r="E107" s="13" t="s">
        <v>362</v>
      </c>
      <c r="F107" s="13" t="s">
        <v>19</v>
      </c>
      <c r="G107" s="13" t="s">
        <v>58</v>
      </c>
      <c r="H107" s="13" t="s">
        <v>59</v>
      </c>
      <c r="I107" s="13" t="s">
        <v>52</v>
      </c>
      <c r="J107" s="13" t="s">
        <v>264</v>
      </c>
      <c r="K107" s="13" t="s">
        <v>265</v>
      </c>
      <c r="L107" s="15">
        <v>1319.69</v>
      </c>
      <c r="M107" s="13">
        <v>9</v>
      </c>
      <c r="N107" s="16">
        <v>0.2</v>
      </c>
      <c r="O107" s="15">
        <v>265.74</v>
      </c>
      <c r="P107" s="17">
        <f t="shared" si="1"/>
        <v>0.20136547219422743</v>
      </c>
    </row>
    <row r="108" spans="1:16" ht="15" customHeight="1" x14ac:dyDescent="0.25">
      <c r="A108" s="8" t="s">
        <v>363</v>
      </c>
      <c r="B108" s="9">
        <v>44888</v>
      </c>
      <c r="C108" s="9">
        <v>44889</v>
      </c>
      <c r="D108" s="8" t="s">
        <v>364</v>
      </c>
      <c r="E108" s="8" t="s">
        <v>365</v>
      </c>
      <c r="F108" s="8" t="s">
        <v>19</v>
      </c>
      <c r="G108" s="8" t="s">
        <v>43</v>
      </c>
      <c r="H108" s="8" t="s">
        <v>51</v>
      </c>
      <c r="I108" s="8" t="s">
        <v>22</v>
      </c>
      <c r="J108" s="8" t="s">
        <v>76</v>
      </c>
      <c r="K108" s="8" t="s">
        <v>203</v>
      </c>
      <c r="L108" s="10">
        <v>2126.8000000000002</v>
      </c>
      <c r="M108" s="8">
        <v>3</v>
      </c>
      <c r="N108" s="11">
        <v>0.3</v>
      </c>
      <c r="O108" s="10">
        <v>718.54</v>
      </c>
      <c r="P108" s="12">
        <f t="shared" si="1"/>
        <v>0.33785029151777313</v>
      </c>
    </row>
    <row r="109" spans="1:16" ht="15" customHeight="1" x14ac:dyDescent="0.25">
      <c r="A109" s="13" t="s">
        <v>366</v>
      </c>
      <c r="B109" s="14">
        <v>44824</v>
      </c>
      <c r="C109" s="14">
        <v>44826</v>
      </c>
      <c r="D109" s="13" t="s">
        <v>367</v>
      </c>
      <c r="E109" s="13" t="s">
        <v>368</v>
      </c>
      <c r="F109" s="13" t="s">
        <v>19</v>
      </c>
      <c r="G109" s="13" t="s">
        <v>36</v>
      </c>
      <c r="H109" s="13" t="s">
        <v>174</v>
      </c>
      <c r="I109" s="13" t="s">
        <v>52</v>
      </c>
      <c r="J109" s="13" t="s">
        <v>53</v>
      </c>
      <c r="K109" s="13" t="s">
        <v>199</v>
      </c>
      <c r="L109" s="15">
        <v>348.59</v>
      </c>
      <c r="M109" s="13">
        <v>2</v>
      </c>
      <c r="N109" s="16">
        <v>0.2</v>
      </c>
      <c r="O109" s="15">
        <v>101.18</v>
      </c>
      <c r="P109" s="17">
        <f t="shared" si="1"/>
        <v>0.29025502739608139</v>
      </c>
    </row>
    <row r="110" spans="1:16" ht="15" customHeight="1" x14ac:dyDescent="0.25">
      <c r="A110" s="8" t="s">
        <v>369</v>
      </c>
      <c r="B110" s="9">
        <v>45073</v>
      </c>
      <c r="C110" s="9">
        <v>45078</v>
      </c>
      <c r="D110" s="8" t="s">
        <v>370</v>
      </c>
      <c r="E110" s="8" t="s">
        <v>371</v>
      </c>
      <c r="F110" s="8" t="s">
        <v>28</v>
      </c>
      <c r="G110" s="8" t="s">
        <v>20</v>
      </c>
      <c r="H110" s="8" t="s">
        <v>29</v>
      </c>
      <c r="I110" s="8" t="s">
        <v>22</v>
      </c>
      <c r="J110" s="8" t="s">
        <v>76</v>
      </c>
      <c r="K110" s="8" t="s">
        <v>203</v>
      </c>
      <c r="L110" s="10">
        <v>909.78</v>
      </c>
      <c r="M110" s="8">
        <v>1</v>
      </c>
      <c r="N110" s="11">
        <v>0.05</v>
      </c>
      <c r="O110" s="10">
        <v>279.61</v>
      </c>
      <c r="P110" s="12">
        <f t="shared" si="1"/>
        <v>0.30733803776737234</v>
      </c>
    </row>
    <row r="111" spans="1:16" ht="15" customHeight="1" x14ac:dyDescent="0.25">
      <c r="A111" s="13" t="s">
        <v>372</v>
      </c>
      <c r="B111" s="14">
        <v>44631</v>
      </c>
      <c r="C111" s="14">
        <v>44636</v>
      </c>
      <c r="D111" s="13" t="s">
        <v>373</v>
      </c>
      <c r="E111" s="13" t="s">
        <v>90</v>
      </c>
      <c r="F111" s="13" t="s">
        <v>50</v>
      </c>
      <c r="G111" s="13" t="s">
        <v>20</v>
      </c>
      <c r="H111" s="13" t="s">
        <v>167</v>
      </c>
      <c r="I111" s="13" t="s">
        <v>22</v>
      </c>
      <c r="J111" s="13" t="s">
        <v>38</v>
      </c>
      <c r="K111" s="13" t="s">
        <v>107</v>
      </c>
      <c r="L111" s="15">
        <v>1613.34</v>
      </c>
      <c r="M111" s="13">
        <v>5</v>
      </c>
      <c r="N111" s="16">
        <v>0.15</v>
      </c>
      <c r="O111" s="15">
        <v>407.97</v>
      </c>
      <c r="P111" s="17">
        <f t="shared" si="1"/>
        <v>0.25287292201271899</v>
      </c>
    </row>
    <row r="112" spans="1:16" ht="15" customHeight="1" x14ac:dyDescent="0.25">
      <c r="A112" s="8" t="s">
        <v>374</v>
      </c>
      <c r="B112" s="9">
        <v>45157</v>
      </c>
      <c r="C112" s="9">
        <v>45163</v>
      </c>
      <c r="D112" s="8" t="s">
        <v>375</v>
      </c>
      <c r="E112" s="8" t="s">
        <v>135</v>
      </c>
      <c r="F112" s="8" t="s">
        <v>19</v>
      </c>
      <c r="G112" s="8" t="s">
        <v>43</v>
      </c>
      <c r="H112" s="8" t="s">
        <v>51</v>
      </c>
      <c r="I112" s="8" t="s">
        <v>52</v>
      </c>
      <c r="J112" s="8" t="s">
        <v>82</v>
      </c>
      <c r="K112" s="8" t="s">
        <v>206</v>
      </c>
      <c r="L112" s="10">
        <v>308.36</v>
      </c>
      <c r="M112" s="8">
        <v>3</v>
      </c>
      <c r="N112" s="11">
        <v>0.3</v>
      </c>
      <c r="O112" s="10">
        <v>63.15</v>
      </c>
      <c r="P112" s="12">
        <f t="shared" si="1"/>
        <v>0.20479309897522374</v>
      </c>
    </row>
    <row r="113" spans="1:16" ht="15" customHeight="1" x14ac:dyDescent="0.25">
      <c r="A113" s="13" t="s">
        <v>376</v>
      </c>
      <c r="B113" s="14">
        <v>44626</v>
      </c>
      <c r="C113" s="14">
        <v>44632</v>
      </c>
      <c r="D113" s="13" t="s">
        <v>377</v>
      </c>
      <c r="E113" s="13" t="s">
        <v>121</v>
      </c>
      <c r="F113" s="13" t="s">
        <v>50</v>
      </c>
      <c r="G113" s="13" t="s">
        <v>58</v>
      </c>
      <c r="H113" s="13" t="s">
        <v>81</v>
      </c>
      <c r="I113" s="13" t="s">
        <v>22</v>
      </c>
      <c r="J113" s="13" t="s">
        <v>45</v>
      </c>
      <c r="K113" s="13" t="s">
        <v>46</v>
      </c>
      <c r="L113" s="15">
        <v>401.77</v>
      </c>
      <c r="M113" s="13">
        <v>1</v>
      </c>
      <c r="N113" s="16">
        <v>0.1</v>
      </c>
      <c r="O113" s="15">
        <v>129.03</v>
      </c>
      <c r="P113" s="17">
        <f t="shared" si="1"/>
        <v>0.3211538940189661</v>
      </c>
    </row>
    <row r="114" spans="1:16" ht="15" customHeight="1" x14ac:dyDescent="0.25">
      <c r="A114" s="8" t="s">
        <v>378</v>
      </c>
      <c r="B114" s="9">
        <v>44599</v>
      </c>
      <c r="C114" s="9">
        <v>44606</v>
      </c>
      <c r="D114" s="8" t="s">
        <v>379</v>
      </c>
      <c r="E114" s="8" t="s">
        <v>27</v>
      </c>
      <c r="F114" s="8" t="s">
        <v>50</v>
      </c>
      <c r="G114" s="8" t="s">
        <v>36</v>
      </c>
      <c r="H114" s="8" t="s">
        <v>37</v>
      </c>
      <c r="I114" s="8" t="s">
        <v>22</v>
      </c>
      <c r="J114" s="8" t="s">
        <v>76</v>
      </c>
      <c r="K114" s="8" t="s">
        <v>203</v>
      </c>
      <c r="L114" s="10">
        <v>1645.2</v>
      </c>
      <c r="M114" s="8">
        <v>2</v>
      </c>
      <c r="N114" s="11">
        <v>0.2</v>
      </c>
      <c r="O114" s="10">
        <v>374.49</v>
      </c>
      <c r="P114" s="12">
        <f t="shared" si="1"/>
        <v>0.2276258205689278</v>
      </c>
    </row>
    <row r="115" spans="1:16" ht="15" customHeight="1" x14ac:dyDescent="0.25">
      <c r="A115" s="13" t="s">
        <v>380</v>
      </c>
      <c r="B115" s="14">
        <v>44753</v>
      </c>
      <c r="C115" s="14">
        <v>44757</v>
      </c>
      <c r="D115" s="13" t="s">
        <v>381</v>
      </c>
      <c r="E115" s="13" t="s">
        <v>368</v>
      </c>
      <c r="F115" s="13" t="s">
        <v>28</v>
      </c>
      <c r="G115" s="13" t="s">
        <v>58</v>
      </c>
      <c r="H115" s="13" t="s">
        <v>59</v>
      </c>
      <c r="I115" s="13" t="s">
        <v>52</v>
      </c>
      <c r="J115" s="13" t="s">
        <v>264</v>
      </c>
      <c r="K115" s="13" t="s">
        <v>344</v>
      </c>
      <c r="L115" s="15">
        <v>1115.73</v>
      </c>
      <c r="M115" s="13">
        <v>7</v>
      </c>
      <c r="N115" s="16">
        <v>0</v>
      </c>
      <c r="O115" s="15">
        <v>349.93</v>
      </c>
      <c r="P115" s="17">
        <f t="shared" si="1"/>
        <v>0.31363322667670496</v>
      </c>
    </row>
    <row r="116" spans="1:16" ht="15" customHeight="1" x14ac:dyDescent="0.25">
      <c r="A116" s="8" t="s">
        <v>382</v>
      </c>
      <c r="B116" s="9">
        <v>44897</v>
      </c>
      <c r="C116" s="9">
        <v>44903</v>
      </c>
      <c r="D116" s="8" t="s">
        <v>383</v>
      </c>
      <c r="E116" s="8" t="s">
        <v>170</v>
      </c>
      <c r="F116" s="8" t="s">
        <v>50</v>
      </c>
      <c r="G116" s="8" t="s">
        <v>43</v>
      </c>
      <c r="H116" s="8" t="s">
        <v>44</v>
      </c>
      <c r="I116" s="8" t="s">
        <v>30</v>
      </c>
      <c r="J116" s="8" t="s">
        <v>31</v>
      </c>
      <c r="K116" s="8" t="s">
        <v>32</v>
      </c>
      <c r="L116" s="10">
        <v>766.24</v>
      </c>
      <c r="M116" s="8">
        <v>8</v>
      </c>
      <c r="N116" s="11">
        <v>0</v>
      </c>
      <c r="O116" s="10">
        <v>205.58</v>
      </c>
      <c r="P116" s="12">
        <f t="shared" si="1"/>
        <v>0.26829713927751098</v>
      </c>
    </row>
    <row r="117" spans="1:16" ht="15" customHeight="1" x14ac:dyDescent="0.25">
      <c r="A117" s="13" t="s">
        <v>384</v>
      </c>
      <c r="B117" s="14">
        <v>44843</v>
      </c>
      <c r="C117" s="14">
        <v>44849</v>
      </c>
      <c r="D117" s="13" t="s">
        <v>385</v>
      </c>
      <c r="E117" s="13" t="s">
        <v>226</v>
      </c>
      <c r="F117" s="13" t="s">
        <v>28</v>
      </c>
      <c r="G117" s="13" t="s">
        <v>20</v>
      </c>
      <c r="H117" s="13" t="s">
        <v>99</v>
      </c>
      <c r="I117" s="13" t="s">
        <v>30</v>
      </c>
      <c r="J117" s="13" t="s">
        <v>31</v>
      </c>
      <c r="K117" s="13" t="s">
        <v>65</v>
      </c>
      <c r="L117" s="15">
        <v>1035</v>
      </c>
      <c r="M117" s="13">
        <v>9</v>
      </c>
      <c r="N117" s="16">
        <v>0</v>
      </c>
      <c r="O117" s="15">
        <v>219.22</v>
      </c>
      <c r="P117" s="17">
        <f t="shared" si="1"/>
        <v>0.21180676328502415</v>
      </c>
    </row>
    <row r="118" spans="1:16" ht="15" customHeight="1" x14ac:dyDescent="0.25">
      <c r="A118" s="8" t="s">
        <v>386</v>
      </c>
      <c r="B118" s="9">
        <v>44597</v>
      </c>
      <c r="C118" s="9">
        <v>44599</v>
      </c>
      <c r="D118" s="8" t="s">
        <v>387</v>
      </c>
      <c r="E118" s="8" t="s">
        <v>86</v>
      </c>
      <c r="F118" s="8" t="s">
        <v>28</v>
      </c>
      <c r="G118" s="8" t="s">
        <v>20</v>
      </c>
      <c r="H118" s="8" t="s">
        <v>29</v>
      </c>
      <c r="I118" s="8" t="s">
        <v>52</v>
      </c>
      <c r="J118" s="8" t="s">
        <v>82</v>
      </c>
      <c r="K118" s="8" t="s">
        <v>100</v>
      </c>
      <c r="L118" s="10">
        <v>1037.5</v>
      </c>
      <c r="M118" s="8">
        <v>10</v>
      </c>
      <c r="N118" s="11">
        <v>0</v>
      </c>
      <c r="O118" s="10">
        <v>290.74</v>
      </c>
      <c r="P118" s="12">
        <f t="shared" si="1"/>
        <v>0.28023132530120481</v>
      </c>
    </row>
    <row r="119" spans="1:16" ht="15" customHeight="1" x14ac:dyDescent="0.25">
      <c r="A119" s="13" t="s">
        <v>388</v>
      </c>
      <c r="B119" s="14">
        <v>44640</v>
      </c>
      <c r="C119" s="14">
        <v>44645</v>
      </c>
      <c r="D119" s="13" t="s">
        <v>389</v>
      </c>
      <c r="E119" s="13" t="s">
        <v>35</v>
      </c>
      <c r="F119" s="13" t="s">
        <v>50</v>
      </c>
      <c r="G119" s="13" t="s">
        <v>36</v>
      </c>
      <c r="H119" s="13" t="s">
        <v>37</v>
      </c>
      <c r="I119" s="13" t="s">
        <v>52</v>
      </c>
      <c r="J119" s="13" t="s">
        <v>82</v>
      </c>
      <c r="K119" s="13" t="s">
        <v>83</v>
      </c>
      <c r="L119" s="15">
        <v>206.8</v>
      </c>
      <c r="M119" s="13">
        <v>2</v>
      </c>
      <c r="N119" s="16">
        <v>0</v>
      </c>
      <c r="O119" s="15">
        <v>67.260000000000005</v>
      </c>
      <c r="P119" s="17">
        <f t="shared" si="1"/>
        <v>0.32524177949709865</v>
      </c>
    </row>
    <row r="120" spans="1:16" ht="15" customHeight="1" x14ac:dyDescent="0.25">
      <c r="A120" s="8" t="s">
        <v>390</v>
      </c>
      <c r="B120" s="9">
        <v>44830</v>
      </c>
      <c r="C120" s="9">
        <v>44837</v>
      </c>
      <c r="D120" s="8" t="s">
        <v>391</v>
      </c>
      <c r="E120" s="8" t="s">
        <v>71</v>
      </c>
      <c r="F120" s="8" t="s">
        <v>19</v>
      </c>
      <c r="G120" s="8" t="s">
        <v>43</v>
      </c>
      <c r="H120" s="8" t="s">
        <v>129</v>
      </c>
      <c r="I120" s="8" t="s">
        <v>30</v>
      </c>
      <c r="J120" s="8" t="s">
        <v>162</v>
      </c>
      <c r="K120" s="8" t="s">
        <v>284</v>
      </c>
      <c r="L120" s="10">
        <v>413.6</v>
      </c>
      <c r="M120" s="8">
        <v>8</v>
      </c>
      <c r="N120" s="11">
        <v>0</v>
      </c>
      <c r="O120" s="10">
        <v>97.94</v>
      </c>
      <c r="P120" s="12">
        <f t="shared" si="1"/>
        <v>0.2367988394584139</v>
      </c>
    </row>
    <row r="121" spans="1:16" ht="15" customHeight="1" x14ac:dyDescent="0.25">
      <c r="A121" s="13" t="s">
        <v>392</v>
      </c>
      <c r="B121" s="14">
        <v>44651</v>
      </c>
      <c r="C121" s="14">
        <v>44658</v>
      </c>
      <c r="D121" s="13" t="s">
        <v>393</v>
      </c>
      <c r="E121" s="13" t="s">
        <v>90</v>
      </c>
      <c r="F121" s="13" t="s">
        <v>28</v>
      </c>
      <c r="G121" s="13" t="s">
        <v>43</v>
      </c>
      <c r="H121" s="13" t="s">
        <v>44</v>
      </c>
      <c r="I121" s="13" t="s">
        <v>22</v>
      </c>
      <c r="J121" s="13" t="s">
        <v>76</v>
      </c>
      <c r="K121" s="13" t="s">
        <v>203</v>
      </c>
      <c r="L121" s="15">
        <v>2984.31</v>
      </c>
      <c r="M121" s="13">
        <v>3</v>
      </c>
      <c r="N121" s="16">
        <v>0</v>
      </c>
      <c r="O121" s="15">
        <v>750.78</v>
      </c>
      <c r="P121" s="17">
        <f t="shared" si="1"/>
        <v>0.25157574112608944</v>
      </c>
    </row>
    <row r="122" spans="1:16" ht="15" customHeight="1" x14ac:dyDescent="0.25">
      <c r="A122" s="8" t="s">
        <v>394</v>
      </c>
      <c r="B122" s="9">
        <v>44767</v>
      </c>
      <c r="C122" s="9">
        <v>44774</v>
      </c>
      <c r="D122" s="8" t="s">
        <v>395</v>
      </c>
      <c r="E122" s="8" t="s">
        <v>312</v>
      </c>
      <c r="F122" s="8" t="s">
        <v>50</v>
      </c>
      <c r="G122" s="8" t="s">
        <v>36</v>
      </c>
      <c r="H122" s="8" t="s">
        <v>136</v>
      </c>
      <c r="I122" s="8" t="s">
        <v>22</v>
      </c>
      <c r="J122" s="8" t="s">
        <v>76</v>
      </c>
      <c r="K122" s="8" t="s">
        <v>77</v>
      </c>
      <c r="L122" s="10">
        <v>8636.1</v>
      </c>
      <c r="M122" s="8">
        <v>10</v>
      </c>
      <c r="N122" s="11">
        <v>0</v>
      </c>
      <c r="O122" s="10">
        <v>2565.0300000000002</v>
      </c>
      <c r="P122" s="12">
        <f t="shared" si="1"/>
        <v>0.29701254038281172</v>
      </c>
    </row>
    <row r="123" spans="1:16" ht="15" customHeight="1" x14ac:dyDescent="0.25">
      <c r="A123" s="13" t="s">
        <v>396</v>
      </c>
      <c r="B123" s="14">
        <v>44969</v>
      </c>
      <c r="C123" s="14">
        <v>44975</v>
      </c>
      <c r="D123" s="13" t="s">
        <v>397</v>
      </c>
      <c r="E123" s="13" t="s">
        <v>202</v>
      </c>
      <c r="F123" s="13" t="s">
        <v>50</v>
      </c>
      <c r="G123" s="13" t="s">
        <v>58</v>
      </c>
      <c r="H123" s="13" t="s">
        <v>181</v>
      </c>
      <c r="I123" s="13" t="s">
        <v>30</v>
      </c>
      <c r="J123" s="13" t="s">
        <v>114</v>
      </c>
      <c r="K123" s="13" t="s">
        <v>115</v>
      </c>
      <c r="L123" s="15">
        <v>57.41</v>
      </c>
      <c r="M123" s="13">
        <v>6</v>
      </c>
      <c r="N123" s="16">
        <v>0.3</v>
      </c>
      <c r="O123" s="15">
        <v>19.149999999999999</v>
      </c>
      <c r="P123" s="17">
        <f t="shared" si="1"/>
        <v>0.33356558090924926</v>
      </c>
    </row>
    <row r="124" spans="1:16" ht="15" customHeight="1" x14ac:dyDescent="0.25">
      <c r="A124" s="8" t="s">
        <v>398</v>
      </c>
      <c r="B124" s="9">
        <v>45126</v>
      </c>
      <c r="C124" s="9">
        <v>45132</v>
      </c>
      <c r="D124" s="8" t="s">
        <v>399</v>
      </c>
      <c r="E124" s="8" t="s">
        <v>319</v>
      </c>
      <c r="F124" s="8" t="s">
        <v>50</v>
      </c>
      <c r="G124" s="8" t="s">
        <v>36</v>
      </c>
      <c r="H124" s="8" t="s">
        <v>136</v>
      </c>
      <c r="I124" s="8" t="s">
        <v>30</v>
      </c>
      <c r="J124" s="8" t="s">
        <v>114</v>
      </c>
      <c r="K124" s="8" t="s">
        <v>115</v>
      </c>
      <c r="L124" s="10">
        <v>99.27</v>
      </c>
      <c r="M124" s="8">
        <v>9</v>
      </c>
      <c r="N124" s="11">
        <v>0</v>
      </c>
      <c r="O124" s="10">
        <v>40.65</v>
      </c>
      <c r="P124" s="12">
        <f t="shared" si="1"/>
        <v>0.40948927168328803</v>
      </c>
    </row>
    <row r="125" spans="1:16" ht="15" customHeight="1" x14ac:dyDescent="0.25">
      <c r="A125" s="13" t="s">
        <v>400</v>
      </c>
      <c r="B125" s="14">
        <v>44642</v>
      </c>
      <c r="C125" s="14">
        <v>44645</v>
      </c>
      <c r="D125" s="13" t="s">
        <v>401</v>
      </c>
      <c r="E125" s="13" t="s">
        <v>402</v>
      </c>
      <c r="F125" s="13" t="s">
        <v>19</v>
      </c>
      <c r="G125" s="13" t="s">
        <v>36</v>
      </c>
      <c r="H125" s="13" t="s">
        <v>37</v>
      </c>
      <c r="I125" s="13" t="s">
        <v>30</v>
      </c>
      <c r="J125" s="13" t="s">
        <v>162</v>
      </c>
      <c r="K125" s="13" t="s">
        <v>284</v>
      </c>
      <c r="L125" s="15">
        <v>441.54</v>
      </c>
      <c r="M125" s="13">
        <v>9</v>
      </c>
      <c r="N125" s="16">
        <v>0</v>
      </c>
      <c r="O125" s="15">
        <v>133.37</v>
      </c>
      <c r="P125" s="17">
        <f t="shared" si="1"/>
        <v>0.30205643882773925</v>
      </c>
    </row>
    <row r="126" spans="1:16" ht="15" customHeight="1" x14ac:dyDescent="0.25">
      <c r="A126" s="8" t="s">
        <v>403</v>
      </c>
      <c r="B126" s="9">
        <v>45139</v>
      </c>
      <c r="C126" s="9">
        <v>45140</v>
      </c>
      <c r="D126" s="8" t="s">
        <v>404</v>
      </c>
      <c r="E126" s="8" t="s">
        <v>121</v>
      </c>
      <c r="F126" s="8" t="s">
        <v>19</v>
      </c>
      <c r="G126" s="8" t="s">
        <v>20</v>
      </c>
      <c r="H126" s="8" t="s">
        <v>99</v>
      </c>
      <c r="I126" s="8" t="s">
        <v>30</v>
      </c>
      <c r="J126" s="8" t="s">
        <v>162</v>
      </c>
      <c r="K126" s="8" t="s">
        <v>284</v>
      </c>
      <c r="L126" s="10">
        <v>210.34</v>
      </c>
      <c r="M126" s="8">
        <v>4</v>
      </c>
      <c r="N126" s="11">
        <v>0.2</v>
      </c>
      <c r="O126" s="10">
        <v>62.15</v>
      </c>
      <c r="P126" s="12">
        <f t="shared" si="1"/>
        <v>0.2954739944851193</v>
      </c>
    </row>
    <row r="127" spans="1:16" ht="15" customHeight="1" x14ac:dyDescent="0.25">
      <c r="A127" s="13" t="s">
        <v>405</v>
      </c>
      <c r="B127" s="14">
        <v>45219</v>
      </c>
      <c r="C127" s="14">
        <v>45222</v>
      </c>
      <c r="D127" s="13" t="s">
        <v>406</v>
      </c>
      <c r="E127" s="13" t="s">
        <v>139</v>
      </c>
      <c r="F127" s="13" t="s">
        <v>28</v>
      </c>
      <c r="G127" s="13" t="s">
        <v>58</v>
      </c>
      <c r="H127" s="13" t="s">
        <v>87</v>
      </c>
      <c r="I127" s="13" t="s">
        <v>52</v>
      </c>
      <c r="J127" s="13" t="s">
        <v>82</v>
      </c>
      <c r="K127" s="13" t="s">
        <v>100</v>
      </c>
      <c r="L127" s="15">
        <v>278.38</v>
      </c>
      <c r="M127" s="13">
        <v>2</v>
      </c>
      <c r="N127" s="16">
        <v>0</v>
      </c>
      <c r="O127" s="15">
        <v>94.68</v>
      </c>
      <c r="P127" s="17">
        <f t="shared" si="1"/>
        <v>0.34011064013219344</v>
      </c>
    </row>
    <row r="128" spans="1:16" ht="15" customHeight="1" x14ac:dyDescent="0.25">
      <c r="A128" s="8" t="s">
        <v>407</v>
      </c>
      <c r="B128" s="9">
        <v>44910</v>
      </c>
      <c r="C128" s="9">
        <v>44915</v>
      </c>
      <c r="D128" s="8" t="s">
        <v>408</v>
      </c>
      <c r="E128" s="8" t="s">
        <v>312</v>
      </c>
      <c r="F128" s="8" t="s">
        <v>28</v>
      </c>
      <c r="G128" s="8" t="s">
        <v>36</v>
      </c>
      <c r="H128" s="8" t="s">
        <v>37</v>
      </c>
      <c r="I128" s="8" t="s">
        <v>52</v>
      </c>
      <c r="J128" s="8" t="s">
        <v>82</v>
      </c>
      <c r="K128" s="8" t="s">
        <v>100</v>
      </c>
      <c r="L128" s="10">
        <v>429.24</v>
      </c>
      <c r="M128" s="8">
        <v>3</v>
      </c>
      <c r="N128" s="11">
        <v>0</v>
      </c>
      <c r="O128" s="10">
        <v>158.91</v>
      </c>
      <c r="P128" s="12">
        <f t="shared" si="1"/>
        <v>0.37021246854906342</v>
      </c>
    </row>
    <row r="129" spans="1:16" ht="15" customHeight="1" x14ac:dyDescent="0.25">
      <c r="A129" s="13" t="s">
        <v>409</v>
      </c>
      <c r="B129" s="14">
        <v>45022</v>
      </c>
      <c r="C129" s="14">
        <v>45024</v>
      </c>
      <c r="D129" s="13" t="s">
        <v>410</v>
      </c>
      <c r="E129" s="13" t="s">
        <v>229</v>
      </c>
      <c r="F129" s="13" t="s">
        <v>19</v>
      </c>
      <c r="G129" s="13" t="s">
        <v>36</v>
      </c>
      <c r="H129" s="13" t="s">
        <v>232</v>
      </c>
      <c r="I129" s="13" t="s">
        <v>52</v>
      </c>
      <c r="J129" s="13" t="s">
        <v>153</v>
      </c>
      <c r="K129" s="13" t="s">
        <v>411</v>
      </c>
      <c r="L129" s="15">
        <v>605.85</v>
      </c>
      <c r="M129" s="13">
        <v>7</v>
      </c>
      <c r="N129" s="16">
        <v>0</v>
      </c>
      <c r="O129" s="15">
        <v>149.41999999999999</v>
      </c>
      <c r="P129" s="17">
        <f t="shared" si="1"/>
        <v>0.24662870347445734</v>
      </c>
    </row>
    <row r="130" spans="1:16" ht="15" customHeight="1" x14ac:dyDescent="0.25">
      <c r="A130" s="8" t="s">
        <v>412</v>
      </c>
      <c r="B130" s="9">
        <v>45072</v>
      </c>
      <c r="C130" s="9">
        <v>45077</v>
      </c>
      <c r="D130" s="8" t="s">
        <v>413</v>
      </c>
      <c r="E130" s="8" t="s">
        <v>161</v>
      </c>
      <c r="F130" s="8" t="s">
        <v>50</v>
      </c>
      <c r="G130" s="8" t="s">
        <v>58</v>
      </c>
      <c r="H130" s="8" t="s">
        <v>181</v>
      </c>
      <c r="I130" s="8" t="s">
        <v>52</v>
      </c>
      <c r="J130" s="8" t="s">
        <v>264</v>
      </c>
      <c r="K130" s="8" t="s">
        <v>281</v>
      </c>
      <c r="L130" s="10">
        <v>1289.7</v>
      </c>
      <c r="M130" s="8">
        <v>7</v>
      </c>
      <c r="N130" s="11">
        <v>0.05</v>
      </c>
      <c r="O130" s="10">
        <v>511</v>
      </c>
      <c r="P130" s="12">
        <f t="shared" ref="P130:P193" si="2">O130/L130</f>
        <v>0.39621617430410172</v>
      </c>
    </row>
    <row r="131" spans="1:16" ht="15" customHeight="1" x14ac:dyDescent="0.25">
      <c r="A131" s="13" t="s">
        <v>414</v>
      </c>
      <c r="B131" s="14">
        <v>44850</v>
      </c>
      <c r="C131" s="14">
        <v>44854</v>
      </c>
      <c r="D131" s="13" t="s">
        <v>415</v>
      </c>
      <c r="E131" s="13" t="s">
        <v>98</v>
      </c>
      <c r="F131" s="13" t="s">
        <v>28</v>
      </c>
      <c r="G131" s="13" t="s">
        <v>58</v>
      </c>
      <c r="H131" s="13" t="s">
        <v>59</v>
      </c>
      <c r="I131" s="13" t="s">
        <v>22</v>
      </c>
      <c r="J131" s="13" t="s">
        <v>45</v>
      </c>
      <c r="K131" s="13" t="s">
        <v>171</v>
      </c>
      <c r="L131" s="15">
        <v>1431.06</v>
      </c>
      <c r="M131" s="13">
        <v>3</v>
      </c>
      <c r="N131" s="16">
        <v>0.15</v>
      </c>
      <c r="O131" s="15">
        <v>370.7</v>
      </c>
      <c r="P131" s="17">
        <f t="shared" si="2"/>
        <v>0.259038754489679</v>
      </c>
    </row>
    <row r="132" spans="1:16" ht="15" customHeight="1" x14ac:dyDescent="0.25">
      <c r="A132" s="8" t="s">
        <v>416</v>
      </c>
      <c r="B132" s="9">
        <v>44614</v>
      </c>
      <c r="C132" s="9">
        <v>44619</v>
      </c>
      <c r="D132" s="8" t="s">
        <v>417</v>
      </c>
      <c r="E132" s="8" t="s">
        <v>418</v>
      </c>
      <c r="F132" s="8" t="s">
        <v>28</v>
      </c>
      <c r="G132" s="8" t="s">
        <v>36</v>
      </c>
      <c r="H132" s="8" t="s">
        <v>37</v>
      </c>
      <c r="I132" s="8" t="s">
        <v>52</v>
      </c>
      <c r="J132" s="8" t="s">
        <v>264</v>
      </c>
      <c r="K132" s="8" t="s">
        <v>265</v>
      </c>
      <c r="L132" s="10">
        <v>1534.79</v>
      </c>
      <c r="M132" s="8">
        <v>9</v>
      </c>
      <c r="N132" s="11">
        <v>0.1</v>
      </c>
      <c r="O132" s="10">
        <v>373.99</v>
      </c>
      <c r="P132" s="12">
        <f t="shared" si="2"/>
        <v>0.24367503046019326</v>
      </c>
    </row>
    <row r="133" spans="1:16" ht="15" customHeight="1" x14ac:dyDescent="0.25">
      <c r="A133" s="13" t="s">
        <v>419</v>
      </c>
      <c r="B133" s="14">
        <v>44965</v>
      </c>
      <c r="C133" s="14">
        <v>44968</v>
      </c>
      <c r="D133" s="13" t="s">
        <v>420</v>
      </c>
      <c r="E133" s="13" t="s">
        <v>157</v>
      </c>
      <c r="F133" s="13" t="s">
        <v>19</v>
      </c>
      <c r="G133" s="13" t="s">
        <v>43</v>
      </c>
      <c r="H133" s="13" t="s">
        <v>44</v>
      </c>
      <c r="I133" s="13" t="s">
        <v>22</v>
      </c>
      <c r="J133" s="13" t="s">
        <v>38</v>
      </c>
      <c r="K133" s="13" t="s">
        <v>158</v>
      </c>
      <c r="L133" s="15">
        <v>278.52</v>
      </c>
      <c r="M133" s="13">
        <v>1</v>
      </c>
      <c r="N133" s="16">
        <v>0</v>
      </c>
      <c r="O133" s="15">
        <v>75.650000000000006</v>
      </c>
      <c r="P133" s="17">
        <f t="shared" si="2"/>
        <v>0.27161424673273016</v>
      </c>
    </row>
    <row r="134" spans="1:16" ht="15" customHeight="1" x14ac:dyDescent="0.25">
      <c r="A134" s="8" t="s">
        <v>421</v>
      </c>
      <c r="B134" s="9">
        <v>44714</v>
      </c>
      <c r="C134" s="9">
        <v>44719</v>
      </c>
      <c r="D134" s="8" t="s">
        <v>422</v>
      </c>
      <c r="E134" s="8" t="s">
        <v>157</v>
      </c>
      <c r="F134" s="8" t="s">
        <v>28</v>
      </c>
      <c r="G134" s="8" t="s">
        <v>36</v>
      </c>
      <c r="H134" s="8" t="s">
        <v>37</v>
      </c>
      <c r="I134" s="8" t="s">
        <v>52</v>
      </c>
      <c r="J134" s="8" t="s">
        <v>53</v>
      </c>
      <c r="K134" s="8" t="s">
        <v>199</v>
      </c>
      <c r="L134" s="10">
        <v>2661.03</v>
      </c>
      <c r="M134" s="8">
        <v>10</v>
      </c>
      <c r="N134" s="11">
        <v>0.1</v>
      </c>
      <c r="O134" s="10">
        <v>802.48</v>
      </c>
      <c r="P134" s="12">
        <f t="shared" si="2"/>
        <v>0.30156743817243697</v>
      </c>
    </row>
    <row r="135" spans="1:16" ht="15" customHeight="1" x14ac:dyDescent="0.25">
      <c r="A135" s="13" t="s">
        <v>423</v>
      </c>
      <c r="B135" s="14">
        <v>45287</v>
      </c>
      <c r="C135" s="14">
        <v>45292</v>
      </c>
      <c r="D135" s="13" t="s">
        <v>424</v>
      </c>
      <c r="E135" s="13" t="s">
        <v>226</v>
      </c>
      <c r="F135" s="13" t="s">
        <v>19</v>
      </c>
      <c r="G135" s="13" t="s">
        <v>43</v>
      </c>
      <c r="H135" s="13" t="s">
        <v>129</v>
      </c>
      <c r="I135" s="13" t="s">
        <v>52</v>
      </c>
      <c r="J135" s="13" t="s">
        <v>82</v>
      </c>
      <c r="K135" s="13" t="s">
        <v>206</v>
      </c>
      <c r="L135" s="15">
        <v>278.83999999999997</v>
      </c>
      <c r="M135" s="13">
        <v>2</v>
      </c>
      <c r="N135" s="16">
        <v>0.1</v>
      </c>
      <c r="O135" s="15">
        <v>69.94</v>
      </c>
      <c r="P135" s="17">
        <f t="shared" si="2"/>
        <v>0.25082484578970021</v>
      </c>
    </row>
    <row r="136" spans="1:16" ht="15" customHeight="1" x14ac:dyDescent="0.25">
      <c r="A136" s="8" t="s">
        <v>425</v>
      </c>
      <c r="B136" s="9">
        <v>44833</v>
      </c>
      <c r="C136" s="9">
        <v>44839</v>
      </c>
      <c r="D136" s="8" t="s">
        <v>426</v>
      </c>
      <c r="E136" s="8" t="s">
        <v>18</v>
      </c>
      <c r="F136" s="8" t="s">
        <v>28</v>
      </c>
      <c r="G136" s="8" t="s">
        <v>36</v>
      </c>
      <c r="H136" s="8" t="s">
        <v>232</v>
      </c>
      <c r="I136" s="8" t="s">
        <v>52</v>
      </c>
      <c r="J136" s="8" t="s">
        <v>53</v>
      </c>
      <c r="K136" s="8" t="s">
        <v>54</v>
      </c>
      <c r="L136" s="10">
        <v>2397.12</v>
      </c>
      <c r="M136" s="8">
        <v>10</v>
      </c>
      <c r="N136" s="11">
        <v>0.2</v>
      </c>
      <c r="O136" s="10">
        <v>990.14</v>
      </c>
      <c r="P136" s="12">
        <f t="shared" si="2"/>
        <v>0.41305399813109067</v>
      </c>
    </row>
    <row r="137" spans="1:16" ht="15" customHeight="1" x14ac:dyDescent="0.25">
      <c r="A137" s="13" t="s">
        <v>427</v>
      </c>
      <c r="B137" s="14">
        <v>44757</v>
      </c>
      <c r="C137" s="14">
        <v>44758</v>
      </c>
      <c r="D137" s="13" t="s">
        <v>428</v>
      </c>
      <c r="E137" s="13" t="s">
        <v>212</v>
      </c>
      <c r="F137" s="13" t="s">
        <v>50</v>
      </c>
      <c r="G137" s="13" t="s">
        <v>58</v>
      </c>
      <c r="H137" s="13" t="s">
        <v>59</v>
      </c>
      <c r="I137" s="13" t="s">
        <v>22</v>
      </c>
      <c r="J137" s="13" t="s">
        <v>38</v>
      </c>
      <c r="K137" s="13" t="s">
        <v>158</v>
      </c>
      <c r="L137" s="15">
        <v>927.05</v>
      </c>
      <c r="M137" s="13">
        <v>4</v>
      </c>
      <c r="N137" s="16">
        <v>0.3</v>
      </c>
      <c r="O137" s="15">
        <v>214.89</v>
      </c>
      <c r="P137" s="17">
        <f t="shared" si="2"/>
        <v>0.23179979504881074</v>
      </c>
    </row>
    <row r="138" spans="1:16" ht="15" customHeight="1" x14ac:dyDescent="0.25">
      <c r="A138" s="8" t="s">
        <v>429</v>
      </c>
      <c r="B138" s="9">
        <v>45136</v>
      </c>
      <c r="C138" s="9">
        <v>45139</v>
      </c>
      <c r="D138" s="8" t="s">
        <v>430</v>
      </c>
      <c r="E138" s="8" t="s">
        <v>431</v>
      </c>
      <c r="F138" s="8" t="s">
        <v>50</v>
      </c>
      <c r="G138" s="8" t="s">
        <v>58</v>
      </c>
      <c r="H138" s="8" t="s">
        <v>181</v>
      </c>
      <c r="I138" s="8" t="s">
        <v>22</v>
      </c>
      <c r="J138" s="8" t="s">
        <v>38</v>
      </c>
      <c r="K138" s="8" t="s">
        <v>158</v>
      </c>
      <c r="L138" s="10">
        <v>1893.56</v>
      </c>
      <c r="M138" s="8">
        <v>6</v>
      </c>
      <c r="N138" s="11">
        <v>0.1</v>
      </c>
      <c r="O138" s="10">
        <v>563.29999999999995</v>
      </c>
      <c r="P138" s="12">
        <f t="shared" si="2"/>
        <v>0.29748199159255578</v>
      </c>
    </row>
    <row r="139" spans="1:16" ht="15" customHeight="1" x14ac:dyDescent="0.25">
      <c r="A139" s="13" t="s">
        <v>432</v>
      </c>
      <c r="B139" s="14">
        <v>45133</v>
      </c>
      <c r="C139" s="14">
        <v>45136</v>
      </c>
      <c r="D139" s="13" t="s">
        <v>433</v>
      </c>
      <c r="E139" s="13" t="s">
        <v>434</v>
      </c>
      <c r="F139" s="13" t="s">
        <v>50</v>
      </c>
      <c r="G139" s="13" t="s">
        <v>36</v>
      </c>
      <c r="H139" s="13" t="s">
        <v>37</v>
      </c>
      <c r="I139" s="13" t="s">
        <v>30</v>
      </c>
      <c r="J139" s="13" t="s">
        <v>60</v>
      </c>
      <c r="K139" s="13" t="s">
        <v>61</v>
      </c>
      <c r="L139" s="15">
        <v>121.52</v>
      </c>
      <c r="M139" s="13">
        <v>8</v>
      </c>
      <c r="N139" s="16">
        <v>0.15</v>
      </c>
      <c r="O139" s="15">
        <v>37.659999999999997</v>
      </c>
      <c r="P139" s="17">
        <f t="shared" si="2"/>
        <v>0.30990783410138245</v>
      </c>
    </row>
    <row r="140" spans="1:16" ht="15" customHeight="1" x14ac:dyDescent="0.25">
      <c r="A140" s="8" t="s">
        <v>435</v>
      </c>
      <c r="B140" s="9">
        <v>45149</v>
      </c>
      <c r="C140" s="9">
        <v>45155</v>
      </c>
      <c r="D140" s="8" t="s">
        <v>436</v>
      </c>
      <c r="E140" s="8" t="s">
        <v>287</v>
      </c>
      <c r="F140" s="8" t="s">
        <v>50</v>
      </c>
      <c r="G140" s="8" t="s">
        <v>58</v>
      </c>
      <c r="H140" s="8" t="s">
        <v>181</v>
      </c>
      <c r="I140" s="8" t="s">
        <v>22</v>
      </c>
      <c r="J140" s="8" t="s">
        <v>76</v>
      </c>
      <c r="K140" s="8" t="s">
        <v>91</v>
      </c>
      <c r="L140" s="10">
        <v>5439.55</v>
      </c>
      <c r="M140" s="8">
        <v>5</v>
      </c>
      <c r="N140" s="11">
        <v>0</v>
      </c>
      <c r="O140" s="10">
        <v>1976.78</v>
      </c>
      <c r="P140" s="12">
        <f t="shared" si="2"/>
        <v>0.36340873785515343</v>
      </c>
    </row>
    <row r="141" spans="1:16" ht="15" customHeight="1" x14ac:dyDescent="0.25">
      <c r="A141" s="13" t="s">
        <v>437</v>
      </c>
      <c r="B141" s="14">
        <v>44781</v>
      </c>
      <c r="C141" s="14">
        <v>44783</v>
      </c>
      <c r="D141" s="13" t="s">
        <v>438</v>
      </c>
      <c r="E141" s="13" t="s">
        <v>166</v>
      </c>
      <c r="F141" s="13" t="s">
        <v>19</v>
      </c>
      <c r="G141" s="13" t="s">
        <v>43</v>
      </c>
      <c r="H141" s="13" t="s">
        <v>44</v>
      </c>
      <c r="I141" s="13" t="s">
        <v>22</v>
      </c>
      <c r="J141" s="13" t="s">
        <v>23</v>
      </c>
      <c r="K141" s="13" t="s">
        <v>143</v>
      </c>
      <c r="L141" s="15">
        <v>38.28</v>
      </c>
      <c r="M141" s="13">
        <v>1</v>
      </c>
      <c r="N141" s="16">
        <v>0.05</v>
      </c>
      <c r="O141" s="15">
        <v>11.12</v>
      </c>
      <c r="P141" s="17">
        <f t="shared" si="2"/>
        <v>0.29049111807732497</v>
      </c>
    </row>
    <row r="142" spans="1:16" ht="15" customHeight="1" x14ac:dyDescent="0.25">
      <c r="A142" s="8" t="s">
        <v>439</v>
      </c>
      <c r="B142" s="9">
        <v>44900</v>
      </c>
      <c r="C142" s="9">
        <v>44906</v>
      </c>
      <c r="D142" s="8" t="s">
        <v>440</v>
      </c>
      <c r="E142" s="8" t="s">
        <v>132</v>
      </c>
      <c r="F142" s="8" t="s">
        <v>28</v>
      </c>
      <c r="G142" s="8" t="s">
        <v>58</v>
      </c>
      <c r="H142" s="8" t="s">
        <v>81</v>
      </c>
      <c r="I142" s="8" t="s">
        <v>22</v>
      </c>
      <c r="J142" s="8" t="s">
        <v>45</v>
      </c>
      <c r="K142" s="8" t="s">
        <v>72</v>
      </c>
      <c r="L142" s="10">
        <v>976.29</v>
      </c>
      <c r="M142" s="8">
        <v>3</v>
      </c>
      <c r="N142" s="11">
        <v>0.3</v>
      </c>
      <c r="O142" s="10">
        <v>322.8</v>
      </c>
      <c r="P142" s="12">
        <f t="shared" si="2"/>
        <v>0.33063946163537478</v>
      </c>
    </row>
    <row r="143" spans="1:16" ht="15" customHeight="1" x14ac:dyDescent="0.25">
      <c r="A143" s="13" t="s">
        <v>441</v>
      </c>
      <c r="B143" s="14">
        <v>44854</v>
      </c>
      <c r="C143" s="14">
        <v>44860</v>
      </c>
      <c r="D143" s="13" t="s">
        <v>442</v>
      </c>
      <c r="E143" s="13" t="s">
        <v>98</v>
      </c>
      <c r="F143" s="13" t="s">
        <v>28</v>
      </c>
      <c r="G143" s="13" t="s">
        <v>20</v>
      </c>
      <c r="H143" s="13" t="s">
        <v>99</v>
      </c>
      <c r="I143" s="13" t="s">
        <v>30</v>
      </c>
      <c r="J143" s="13" t="s">
        <v>60</v>
      </c>
      <c r="K143" s="13" t="s">
        <v>61</v>
      </c>
      <c r="L143" s="15">
        <v>22.7</v>
      </c>
      <c r="M143" s="13">
        <v>1</v>
      </c>
      <c r="N143" s="16">
        <v>0</v>
      </c>
      <c r="O143" s="15">
        <v>7.84</v>
      </c>
      <c r="P143" s="17">
        <f t="shared" si="2"/>
        <v>0.34537444933920708</v>
      </c>
    </row>
    <row r="144" spans="1:16" ht="15" customHeight="1" x14ac:dyDescent="0.25">
      <c r="A144" s="8" t="s">
        <v>443</v>
      </c>
      <c r="B144" s="9">
        <v>45069</v>
      </c>
      <c r="C144" s="9">
        <v>45071</v>
      </c>
      <c r="D144" s="8" t="s">
        <v>444</v>
      </c>
      <c r="E144" s="8" t="s">
        <v>157</v>
      </c>
      <c r="F144" s="8" t="s">
        <v>19</v>
      </c>
      <c r="G144" s="8" t="s">
        <v>43</v>
      </c>
      <c r="H144" s="8" t="s">
        <v>95</v>
      </c>
      <c r="I144" s="8" t="s">
        <v>52</v>
      </c>
      <c r="J144" s="8" t="s">
        <v>264</v>
      </c>
      <c r="K144" s="8" t="s">
        <v>265</v>
      </c>
      <c r="L144" s="10">
        <v>664.3</v>
      </c>
      <c r="M144" s="8">
        <v>5</v>
      </c>
      <c r="N144" s="11">
        <v>0.3</v>
      </c>
      <c r="O144" s="10">
        <v>151.25</v>
      </c>
      <c r="P144" s="12">
        <f t="shared" si="2"/>
        <v>0.22768327562848112</v>
      </c>
    </row>
    <row r="145" spans="1:16" ht="15" customHeight="1" x14ac:dyDescent="0.25">
      <c r="A145" s="13" t="s">
        <v>445</v>
      </c>
      <c r="B145" s="14">
        <v>44841</v>
      </c>
      <c r="C145" s="14">
        <v>44843</v>
      </c>
      <c r="D145" s="13" t="s">
        <v>446</v>
      </c>
      <c r="E145" s="13" t="s">
        <v>447</v>
      </c>
      <c r="F145" s="13" t="s">
        <v>19</v>
      </c>
      <c r="G145" s="13" t="s">
        <v>20</v>
      </c>
      <c r="H145" s="13" t="s">
        <v>21</v>
      </c>
      <c r="I145" s="13" t="s">
        <v>30</v>
      </c>
      <c r="J145" s="13" t="s">
        <v>31</v>
      </c>
      <c r="K145" s="13" t="s">
        <v>240</v>
      </c>
      <c r="L145" s="15">
        <v>557.35</v>
      </c>
      <c r="M145" s="13">
        <v>5</v>
      </c>
      <c r="N145" s="16">
        <v>0</v>
      </c>
      <c r="O145" s="15">
        <v>148.16999999999999</v>
      </c>
      <c r="P145" s="17">
        <f t="shared" si="2"/>
        <v>0.26584731317843363</v>
      </c>
    </row>
    <row r="146" spans="1:16" ht="15" customHeight="1" x14ac:dyDescent="0.25">
      <c r="A146" s="8" t="s">
        <v>448</v>
      </c>
      <c r="B146" s="9">
        <v>44741</v>
      </c>
      <c r="C146" s="9">
        <v>44746</v>
      </c>
      <c r="D146" s="8" t="s">
        <v>449</v>
      </c>
      <c r="E146" s="8" t="s">
        <v>450</v>
      </c>
      <c r="F146" s="8" t="s">
        <v>28</v>
      </c>
      <c r="G146" s="8" t="s">
        <v>58</v>
      </c>
      <c r="H146" s="8" t="s">
        <v>181</v>
      </c>
      <c r="I146" s="8" t="s">
        <v>52</v>
      </c>
      <c r="J146" s="8" t="s">
        <v>264</v>
      </c>
      <c r="K146" s="8" t="s">
        <v>265</v>
      </c>
      <c r="L146" s="10">
        <v>335.94</v>
      </c>
      <c r="M146" s="8">
        <v>2</v>
      </c>
      <c r="N146" s="11">
        <v>0</v>
      </c>
      <c r="O146" s="10">
        <v>111.07</v>
      </c>
      <c r="P146" s="12">
        <f t="shared" si="2"/>
        <v>0.33062451628266953</v>
      </c>
    </row>
    <row r="147" spans="1:16" ht="15" customHeight="1" x14ac:dyDescent="0.25">
      <c r="A147" s="13" t="s">
        <v>451</v>
      </c>
      <c r="B147" s="14">
        <v>44954</v>
      </c>
      <c r="C147" s="14">
        <v>44956</v>
      </c>
      <c r="D147" s="13" t="s">
        <v>452</v>
      </c>
      <c r="E147" s="13" t="s">
        <v>128</v>
      </c>
      <c r="F147" s="13" t="s">
        <v>50</v>
      </c>
      <c r="G147" s="13" t="s">
        <v>58</v>
      </c>
      <c r="H147" s="13" t="s">
        <v>59</v>
      </c>
      <c r="I147" s="13" t="s">
        <v>52</v>
      </c>
      <c r="J147" s="13" t="s">
        <v>264</v>
      </c>
      <c r="K147" s="13" t="s">
        <v>265</v>
      </c>
      <c r="L147" s="15">
        <v>1254.6600000000001</v>
      </c>
      <c r="M147" s="13">
        <v>6</v>
      </c>
      <c r="N147" s="16">
        <v>0</v>
      </c>
      <c r="O147" s="15">
        <v>355.14</v>
      </c>
      <c r="P147" s="17">
        <f t="shared" si="2"/>
        <v>0.28305676438238248</v>
      </c>
    </row>
    <row r="148" spans="1:16" ht="15" customHeight="1" x14ac:dyDescent="0.25">
      <c r="A148" s="8" t="s">
        <v>453</v>
      </c>
      <c r="B148" s="9">
        <v>44977</v>
      </c>
      <c r="C148" s="9">
        <v>44983</v>
      </c>
      <c r="D148" s="8" t="s">
        <v>454</v>
      </c>
      <c r="E148" s="8" t="s">
        <v>455</v>
      </c>
      <c r="F148" s="8" t="s">
        <v>28</v>
      </c>
      <c r="G148" s="8" t="s">
        <v>43</v>
      </c>
      <c r="H148" s="8" t="s">
        <v>95</v>
      </c>
      <c r="I148" s="8" t="s">
        <v>52</v>
      </c>
      <c r="J148" s="8" t="s">
        <v>82</v>
      </c>
      <c r="K148" s="8" t="s">
        <v>206</v>
      </c>
      <c r="L148" s="10">
        <v>455.32</v>
      </c>
      <c r="M148" s="8">
        <v>4</v>
      </c>
      <c r="N148" s="11">
        <v>0</v>
      </c>
      <c r="O148" s="10">
        <v>150.46</v>
      </c>
      <c r="P148" s="12">
        <f t="shared" si="2"/>
        <v>0.33044891504875695</v>
      </c>
    </row>
    <row r="149" spans="1:16" ht="15" customHeight="1" x14ac:dyDescent="0.25">
      <c r="A149" s="13" t="s">
        <v>456</v>
      </c>
      <c r="B149" s="14">
        <v>44987</v>
      </c>
      <c r="C149" s="14">
        <v>44993</v>
      </c>
      <c r="D149" s="13" t="s">
        <v>457</v>
      </c>
      <c r="E149" s="13" t="s">
        <v>458</v>
      </c>
      <c r="F149" s="13" t="s">
        <v>19</v>
      </c>
      <c r="G149" s="13" t="s">
        <v>58</v>
      </c>
      <c r="H149" s="13" t="s">
        <v>87</v>
      </c>
      <c r="I149" s="13" t="s">
        <v>30</v>
      </c>
      <c r="J149" s="13" t="s">
        <v>114</v>
      </c>
      <c r="K149" s="13" t="s">
        <v>350</v>
      </c>
      <c r="L149" s="15">
        <v>88.74</v>
      </c>
      <c r="M149" s="13">
        <v>8</v>
      </c>
      <c r="N149" s="16">
        <v>0.15</v>
      </c>
      <c r="O149" s="15">
        <v>38.200000000000003</v>
      </c>
      <c r="P149" s="17">
        <f t="shared" si="2"/>
        <v>0.43047103899030881</v>
      </c>
    </row>
    <row r="150" spans="1:16" ht="15" customHeight="1" x14ac:dyDescent="0.25">
      <c r="A150" s="8" t="s">
        <v>459</v>
      </c>
      <c r="B150" s="9">
        <v>45148</v>
      </c>
      <c r="C150" s="9">
        <v>45153</v>
      </c>
      <c r="D150" s="8" t="s">
        <v>460</v>
      </c>
      <c r="E150" s="8" t="s">
        <v>180</v>
      </c>
      <c r="F150" s="8" t="s">
        <v>50</v>
      </c>
      <c r="G150" s="8" t="s">
        <v>36</v>
      </c>
      <c r="H150" s="8" t="s">
        <v>136</v>
      </c>
      <c r="I150" s="8" t="s">
        <v>30</v>
      </c>
      <c r="J150" s="8" t="s">
        <v>31</v>
      </c>
      <c r="K150" s="8" t="s">
        <v>32</v>
      </c>
      <c r="L150" s="10">
        <v>311.92</v>
      </c>
      <c r="M150" s="8">
        <v>4</v>
      </c>
      <c r="N150" s="11">
        <v>0.3</v>
      </c>
      <c r="O150" s="10">
        <v>133.27000000000001</v>
      </c>
      <c r="P150" s="12">
        <f t="shared" si="2"/>
        <v>0.42725698897153119</v>
      </c>
    </row>
    <row r="151" spans="1:16" ht="15" customHeight="1" x14ac:dyDescent="0.25">
      <c r="A151" s="13" t="s">
        <v>461</v>
      </c>
      <c r="B151" s="14">
        <v>45026</v>
      </c>
      <c r="C151" s="14">
        <v>45028</v>
      </c>
      <c r="D151" s="13" t="s">
        <v>462</v>
      </c>
      <c r="E151" s="13" t="s">
        <v>90</v>
      </c>
      <c r="F151" s="13" t="s">
        <v>28</v>
      </c>
      <c r="G151" s="13" t="s">
        <v>58</v>
      </c>
      <c r="H151" s="13" t="s">
        <v>181</v>
      </c>
      <c r="I151" s="13" t="s">
        <v>22</v>
      </c>
      <c r="J151" s="13" t="s">
        <v>38</v>
      </c>
      <c r="K151" s="13" t="s">
        <v>158</v>
      </c>
      <c r="L151" s="15">
        <v>1504.6</v>
      </c>
      <c r="M151" s="13">
        <v>5</v>
      </c>
      <c r="N151" s="16">
        <v>0.2</v>
      </c>
      <c r="O151" s="15">
        <v>581.36</v>
      </c>
      <c r="P151" s="17">
        <f t="shared" si="2"/>
        <v>0.38638840887943643</v>
      </c>
    </row>
    <row r="152" spans="1:16" ht="15" customHeight="1" x14ac:dyDescent="0.25">
      <c r="A152" s="8" t="s">
        <v>463</v>
      </c>
      <c r="B152" s="9">
        <v>44608</v>
      </c>
      <c r="C152" s="9">
        <v>44612</v>
      </c>
      <c r="D152" s="8" t="s">
        <v>464</v>
      </c>
      <c r="E152" s="8" t="s">
        <v>57</v>
      </c>
      <c r="F152" s="8" t="s">
        <v>28</v>
      </c>
      <c r="G152" s="8" t="s">
        <v>43</v>
      </c>
      <c r="H152" s="8" t="s">
        <v>95</v>
      </c>
      <c r="I152" s="8" t="s">
        <v>22</v>
      </c>
      <c r="J152" s="8" t="s">
        <v>45</v>
      </c>
      <c r="K152" s="8" t="s">
        <v>171</v>
      </c>
      <c r="L152" s="10">
        <v>440.64</v>
      </c>
      <c r="M152" s="8">
        <v>1</v>
      </c>
      <c r="N152" s="11">
        <v>0</v>
      </c>
      <c r="O152" s="10">
        <v>113.58</v>
      </c>
      <c r="P152" s="12">
        <f t="shared" si="2"/>
        <v>0.25776143790849676</v>
      </c>
    </row>
    <row r="153" spans="1:16" ht="15" customHeight="1" x14ac:dyDescent="0.25">
      <c r="A153" s="13" t="s">
        <v>465</v>
      </c>
      <c r="B153" s="14">
        <v>45021</v>
      </c>
      <c r="C153" s="14">
        <v>45028</v>
      </c>
      <c r="D153" s="13" t="s">
        <v>466</v>
      </c>
      <c r="E153" s="13" t="s">
        <v>161</v>
      </c>
      <c r="F153" s="13" t="s">
        <v>19</v>
      </c>
      <c r="G153" s="13" t="s">
        <v>58</v>
      </c>
      <c r="H153" s="13" t="s">
        <v>181</v>
      </c>
      <c r="I153" s="13" t="s">
        <v>30</v>
      </c>
      <c r="J153" s="13" t="s">
        <v>60</v>
      </c>
      <c r="K153" s="13" t="s">
        <v>61</v>
      </c>
      <c r="L153" s="15">
        <v>78.05</v>
      </c>
      <c r="M153" s="13">
        <v>6</v>
      </c>
      <c r="N153" s="16">
        <v>0.2</v>
      </c>
      <c r="O153" s="15">
        <v>24.8</v>
      </c>
      <c r="P153" s="17">
        <f t="shared" si="2"/>
        <v>0.31774503523382447</v>
      </c>
    </row>
    <row r="154" spans="1:16" ht="15" customHeight="1" x14ac:dyDescent="0.25">
      <c r="A154" s="8" t="s">
        <v>467</v>
      </c>
      <c r="B154" s="9">
        <v>44867</v>
      </c>
      <c r="C154" s="9">
        <v>44871</v>
      </c>
      <c r="D154" s="8" t="s">
        <v>468</v>
      </c>
      <c r="E154" s="8" t="s">
        <v>113</v>
      </c>
      <c r="F154" s="8" t="s">
        <v>19</v>
      </c>
      <c r="G154" s="8" t="s">
        <v>58</v>
      </c>
      <c r="H154" s="8" t="s">
        <v>181</v>
      </c>
      <c r="I154" s="8" t="s">
        <v>22</v>
      </c>
      <c r="J154" s="8" t="s">
        <v>38</v>
      </c>
      <c r="K154" s="8" t="s">
        <v>107</v>
      </c>
      <c r="L154" s="10">
        <v>935.07</v>
      </c>
      <c r="M154" s="8">
        <v>3</v>
      </c>
      <c r="N154" s="11">
        <v>0</v>
      </c>
      <c r="O154" s="10">
        <v>413.25</v>
      </c>
      <c r="P154" s="12">
        <f t="shared" si="2"/>
        <v>0.44194552279508481</v>
      </c>
    </row>
    <row r="155" spans="1:16" ht="15" customHeight="1" x14ac:dyDescent="0.25">
      <c r="A155" s="13" t="s">
        <v>469</v>
      </c>
      <c r="B155" s="14">
        <v>44808</v>
      </c>
      <c r="C155" s="14">
        <v>44810</v>
      </c>
      <c r="D155" s="13" t="s">
        <v>470</v>
      </c>
      <c r="E155" s="13" t="s">
        <v>49</v>
      </c>
      <c r="F155" s="13" t="s">
        <v>28</v>
      </c>
      <c r="G155" s="13" t="s">
        <v>20</v>
      </c>
      <c r="H155" s="13" t="s">
        <v>99</v>
      </c>
      <c r="I155" s="13" t="s">
        <v>22</v>
      </c>
      <c r="J155" s="13" t="s">
        <v>38</v>
      </c>
      <c r="K155" s="13" t="s">
        <v>158</v>
      </c>
      <c r="L155" s="15">
        <v>307.24</v>
      </c>
      <c r="M155" s="13">
        <v>1</v>
      </c>
      <c r="N155" s="16">
        <v>0</v>
      </c>
      <c r="O155" s="15">
        <v>107.36</v>
      </c>
      <c r="P155" s="17">
        <f t="shared" si="2"/>
        <v>0.34943366749121207</v>
      </c>
    </row>
    <row r="156" spans="1:16" ht="15" customHeight="1" x14ac:dyDescent="0.25">
      <c r="A156" s="8" t="s">
        <v>471</v>
      </c>
      <c r="B156" s="9">
        <v>44619</v>
      </c>
      <c r="C156" s="9">
        <v>44621</v>
      </c>
      <c r="D156" s="8" t="s">
        <v>472</v>
      </c>
      <c r="E156" s="8" t="s">
        <v>49</v>
      </c>
      <c r="F156" s="8" t="s">
        <v>28</v>
      </c>
      <c r="G156" s="8" t="s">
        <v>43</v>
      </c>
      <c r="H156" s="8" t="s">
        <v>51</v>
      </c>
      <c r="I156" s="8" t="s">
        <v>30</v>
      </c>
      <c r="J156" s="8" t="s">
        <v>162</v>
      </c>
      <c r="K156" s="8" t="s">
        <v>284</v>
      </c>
      <c r="L156" s="10">
        <v>559.89</v>
      </c>
      <c r="M156" s="8">
        <v>10</v>
      </c>
      <c r="N156" s="11">
        <v>0.15</v>
      </c>
      <c r="O156" s="10">
        <v>218.79</v>
      </c>
      <c r="P156" s="12">
        <f t="shared" si="2"/>
        <v>0.39077318759041957</v>
      </c>
    </row>
    <row r="157" spans="1:16" ht="15" customHeight="1" x14ac:dyDescent="0.25">
      <c r="A157" s="13" t="s">
        <v>473</v>
      </c>
      <c r="B157" s="14">
        <v>44985</v>
      </c>
      <c r="C157" s="14">
        <v>44988</v>
      </c>
      <c r="D157" s="13" t="s">
        <v>474</v>
      </c>
      <c r="E157" s="13" t="s">
        <v>475</v>
      </c>
      <c r="F157" s="13" t="s">
        <v>28</v>
      </c>
      <c r="G157" s="13" t="s">
        <v>43</v>
      </c>
      <c r="H157" s="13" t="s">
        <v>95</v>
      </c>
      <c r="I157" s="13" t="s">
        <v>30</v>
      </c>
      <c r="J157" s="13" t="s">
        <v>60</v>
      </c>
      <c r="K157" s="13" t="s">
        <v>61</v>
      </c>
      <c r="L157" s="15">
        <v>138.6</v>
      </c>
      <c r="M157" s="13">
        <v>7</v>
      </c>
      <c r="N157" s="16">
        <v>0</v>
      </c>
      <c r="O157" s="15">
        <v>28.68</v>
      </c>
      <c r="P157" s="17">
        <f t="shared" si="2"/>
        <v>0.20692640692640693</v>
      </c>
    </row>
    <row r="158" spans="1:16" ht="15" customHeight="1" x14ac:dyDescent="0.25">
      <c r="A158" s="8" t="s">
        <v>476</v>
      </c>
      <c r="B158" s="9">
        <v>45275</v>
      </c>
      <c r="C158" s="9">
        <v>45279</v>
      </c>
      <c r="D158" s="8" t="s">
        <v>477</v>
      </c>
      <c r="E158" s="8" t="s">
        <v>180</v>
      </c>
      <c r="F158" s="8" t="s">
        <v>50</v>
      </c>
      <c r="G158" s="8" t="s">
        <v>58</v>
      </c>
      <c r="H158" s="8" t="s">
        <v>87</v>
      </c>
      <c r="I158" s="8" t="s">
        <v>52</v>
      </c>
      <c r="J158" s="8" t="s">
        <v>53</v>
      </c>
      <c r="K158" s="8" t="s">
        <v>54</v>
      </c>
      <c r="L158" s="10">
        <v>1821.04</v>
      </c>
      <c r="M158" s="8">
        <v>8</v>
      </c>
      <c r="N158" s="11">
        <v>0.05</v>
      </c>
      <c r="O158" s="10">
        <v>682.55</v>
      </c>
      <c r="P158" s="12">
        <f t="shared" si="2"/>
        <v>0.37481329350261389</v>
      </c>
    </row>
    <row r="159" spans="1:16" ht="15" customHeight="1" x14ac:dyDescent="0.25">
      <c r="A159" s="13" t="s">
        <v>478</v>
      </c>
      <c r="B159" s="14">
        <v>45137</v>
      </c>
      <c r="C159" s="14">
        <v>45141</v>
      </c>
      <c r="D159" s="13" t="s">
        <v>479</v>
      </c>
      <c r="E159" s="13" t="s">
        <v>49</v>
      </c>
      <c r="F159" s="13" t="s">
        <v>50</v>
      </c>
      <c r="G159" s="13" t="s">
        <v>58</v>
      </c>
      <c r="H159" s="13" t="s">
        <v>87</v>
      </c>
      <c r="I159" s="13" t="s">
        <v>22</v>
      </c>
      <c r="J159" s="13" t="s">
        <v>76</v>
      </c>
      <c r="K159" s="13" t="s">
        <v>91</v>
      </c>
      <c r="L159" s="15">
        <v>4073.41</v>
      </c>
      <c r="M159" s="13">
        <v>6</v>
      </c>
      <c r="N159" s="16">
        <v>0.3</v>
      </c>
      <c r="O159" s="15">
        <v>970.35</v>
      </c>
      <c r="P159" s="17">
        <f t="shared" si="2"/>
        <v>0.23821564733233336</v>
      </c>
    </row>
    <row r="160" spans="1:16" ht="15" customHeight="1" x14ac:dyDescent="0.25">
      <c r="A160" s="8" t="s">
        <v>480</v>
      </c>
      <c r="B160" s="9">
        <v>44614</v>
      </c>
      <c r="C160" s="9">
        <v>44617</v>
      </c>
      <c r="D160" s="8" t="s">
        <v>481</v>
      </c>
      <c r="E160" s="8" t="s">
        <v>482</v>
      </c>
      <c r="F160" s="8" t="s">
        <v>19</v>
      </c>
      <c r="G160" s="8" t="s">
        <v>58</v>
      </c>
      <c r="H160" s="8" t="s">
        <v>81</v>
      </c>
      <c r="I160" s="8" t="s">
        <v>22</v>
      </c>
      <c r="J160" s="8" t="s">
        <v>23</v>
      </c>
      <c r="K160" s="8" t="s">
        <v>125</v>
      </c>
      <c r="L160" s="10">
        <v>147.69999999999999</v>
      </c>
      <c r="M160" s="8">
        <v>4</v>
      </c>
      <c r="N160" s="11">
        <v>0.15</v>
      </c>
      <c r="O160" s="10">
        <v>55.27</v>
      </c>
      <c r="P160" s="12">
        <f t="shared" si="2"/>
        <v>0.3742044685172648</v>
      </c>
    </row>
    <row r="161" spans="1:16" ht="15" customHeight="1" x14ac:dyDescent="0.25">
      <c r="A161" s="13" t="s">
        <v>483</v>
      </c>
      <c r="B161" s="14">
        <v>44682</v>
      </c>
      <c r="C161" s="14">
        <v>44688</v>
      </c>
      <c r="D161" s="13" t="s">
        <v>484</v>
      </c>
      <c r="E161" s="13" t="s">
        <v>319</v>
      </c>
      <c r="F161" s="13" t="s">
        <v>28</v>
      </c>
      <c r="G161" s="13" t="s">
        <v>58</v>
      </c>
      <c r="H161" s="13" t="s">
        <v>87</v>
      </c>
      <c r="I161" s="13" t="s">
        <v>30</v>
      </c>
      <c r="J161" s="13" t="s">
        <v>60</v>
      </c>
      <c r="K161" s="13" t="s">
        <v>140</v>
      </c>
      <c r="L161" s="15">
        <v>71.17</v>
      </c>
      <c r="M161" s="13">
        <v>4</v>
      </c>
      <c r="N161" s="16">
        <v>0.1</v>
      </c>
      <c r="O161" s="15">
        <v>25.25</v>
      </c>
      <c r="P161" s="17">
        <f t="shared" si="2"/>
        <v>0.35478431923563297</v>
      </c>
    </row>
    <row r="162" spans="1:16" ht="15" customHeight="1" x14ac:dyDescent="0.25">
      <c r="A162" s="8" t="s">
        <v>485</v>
      </c>
      <c r="B162" s="9">
        <v>44829</v>
      </c>
      <c r="C162" s="9">
        <v>44832</v>
      </c>
      <c r="D162" s="8" t="s">
        <v>486</v>
      </c>
      <c r="E162" s="8" t="s">
        <v>218</v>
      </c>
      <c r="F162" s="8" t="s">
        <v>19</v>
      </c>
      <c r="G162" s="8" t="s">
        <v>58</v>
      </c>
      <c r="H162" s="8" t="s">
        <v>181</v>
      </c>
      <c r="I162" s="8" t="s">
        <v>30</v>
      </c>
      <c r="J162" s="8" t="s">
        <v>31</v>
      </c>
      <c r="K162" s="8" t="s">
        <v>65</v>
      </c>
      <c r="L162" s="10">
        <v>309.12</v>
      </c>
      <c r="M162" s="8">
        <v>4</v>
      </c>
      <c r="N162" s="11">
        <v>0.2</v>
      </c>
      <c r="O162" s="10">
        <v>135.57</v>
      </c>
      <c r="P162" s="12">
        <f t="shared" si="2"/>
        <v>0.43856754658385089</v>
      </c>
    </row>
    <row r="163" spans="1:16" ht="15" customHeight="1" x14ac:dyDescent="0.25">
      <c r="A163" s="13" t="s">
        <v>487</v>
      </c>
      <c r="B163" s="14">
        <v>44829</v>
      </c>
      <c r="C163" s="14">
        <v>44834</v>
      </c>
      <c r="D163" s="13" t="s">
        <v>488</v>
      </c>
      <c r="E163" s="13" t="s">
        <v>287</v>
      </c>
      <c r="F163" s="13" t="s">
        <v>19</v>
      </c>
      <c r="G163" s="13" t="s">
        <v>58</v>
      </c>
      <c r="H163" s="13" t="s">
        <v>59</v>
      </c>
      <c r="I163" s="13" t="s">
        <v>22</v>
      </c>
      <c r="J163" s="13" t="s">
        <v>76</v>
      </c>
      <c r="K163" s="13" t="s">
        <v>91</v>
      </c>
      <c r="L163" s="15">
        <v>6253.93</v>
      </c>
      <c r="M163" s="13">
        <v>7</v>
      </c>
      <c r="N163" s="16">
        <v>0.05</v>
      </c>
      <c r="O163" s="15">
        <v>2033.62</v>
      </c>
      <c r="P163" s="17">
        <f t="shared" si="2"/>
        <v>0.32517473012969439</v>
      </c>
    </row>
    <row r="164" spans="1:16" ht="15" customHeight="1" x14ac:dyDescent="0.25">
      <c r="A164" s="8" t="s">
        <v>489</v>
      </c>
      <c r="B164" s="9">
        <v>45219</v>
      </c>
      <c r="C164" s="9">
        <v>45225</v>
      </c>
      <c r="D164" s="8" t="s">
        <v>490</v>
      </c>
      <c r="E164" s="8" t="s">
        <v>161</v>
      </c>
      <c r="F164" s="8" t="s">
        <v>19</v>
      </c>
      <c r="G164" s="8" t="s">
        <v>58</v>
      </c>
      <c r="H164" s="8" t="s">
        <v>181</v>
      </c>
      <c r="I164" s="8" t="s">
        <v>30</v>
      </c>
      <c r="J164" s="8" t="s">
        <v>162</v>
      </c>
      <c r="K164" s="8" t="s">
        <v>163</v>
      </c>
      <c r="L164" s="10">
        <v>135.62</v>
      </c>
      <c r="M164" s="8">
        <v>3</v>
      </c>
      <c r="N164" s="11">
        <v>0.3</v>
      </c>
      <c r="O164" s="10">
        <v>54.79</v>
      </c>
      <c r="P164" s="12">
        <f t="shared" si="2"/>
        <v>0.40399646069901191</v>
      </c>
    </row>
    <row r="165" spans="1:16" ht="15" customHeight="1" x14ac:dyDescent="0.25">
      <c r="A165" s="13" t="s">
        <v>491</v>
      </c>
      <c r="B165" s="14">
        <v>44638</v>
      </c>
      <c r="C165" s="14">
        <v>44645</v>
      </c>
      <c r="D165" s="13" t="s">
        <v>492</v>
      </c>
      <c r="E165" s="13" t="s">
        <v>180</v>
      </c>
      <c r="F165" s="13" t="s">
        <v>50</v>
      </c>
      <c r="G165" s="13" t="s">
        <v>20</v>
      </c>
      <c r="H165" s="13" t="s">
        <v>99</v>
      </c>
      <c r="I165" s="13" t="s">
        <v>22</v>
      </c>
      <c r="J165" s="13" t="s">
        <v>23</v>
      </c>
      <c r="K165" s="13" t="s">
        <v>143</v>
      </c>
      <c r="L165" s="15">
        <v>62.77</v>
      </c>
      <c r="M165" s="13">
        <v>3</v>
      </c>
      <c r="N165" s="16">
        <v>0.3</v>
      </c>
      <c r="O165" s="15">
        <v>22.39</v>
      </c>
      <c r="P165" s="17">
        <f t="shared" si="2"/>
        <v>0.35669906006053848</v>
      </c>
    </row>
    <row r="166" spans="1:16" ht="15" customHeight="1" x14ac:dyDescent="0.25">
      <c r="A166" s="8" t="s">
        <v>493</v>
      </c>
      <c r="B166" s="9">
        <v>44568</v>
      </c>
      <c r="C166" s="9">
        <v>44573</v>
      </c>
      <c r="D166" s="8" t="s">
        <v>494</v>
      </c>
      <c r="E166" s="8" t="s">
        <v>368</v>
      </c>
      <c r="F166" s="8" t="s">
        <v>19</v>
      </c>
      <c r="G166" s="8" t="s">
        <v>58</v>
      </c>
      <c r="H166" s="8" t="s">
        <v>81</v>
      </c>
      <c r="I166" s="8" t="s">
        <v>30</v>
      </c>
      <c r="J166" s="8" t="s">
        <v>162</v>
      </c>
      <c r="K166" s="8" t="s">
        <v>284</v>
      </c>
      <c r="L166" s="10">
        <v>188.68</v>
      </c>
      <c r="M166" s="8">
        <v>5</v>
      </c>
      <c r="N166" s="11">
        <v>0.2</v>
      </c>
      <c r="O166" s="10">
        <v>46.88</v>
      </c>
      <c r="P166" s="12">
        <f t="shared" si="2"/>
        <v>0.24846300614797542</v>
      </c>
    </row>
    <row r="167" spans="1:16" ht="15" customHeight="1" x14ac:dyDescent="0.25">
      <c r="A167" s="13" t="s">
        <v>495</v>
      </c>
      <c r="B167" s="14">
        <v>45098</v>
      </c>
      <c r="C167" s="14">
        <v>45100</v>
      </c>
      <c r="D167" s="13" t="s">
        <v>496</v>
      </c>
      <c r="E167" s="13" t="s">
        <v>139</v>
      </c>
      <c r="F167" s="13" t="s">
        <v>28</v>
      </c>
      <c r="G167" s="13" t="s">
        <v>36</v>
      </c>
      <c r="H167" s="13" t="s">
        <v>136</v>
      </c>
      <c r="I167" s="13" t="s">
        <v>30</v>
      </c>
      <c r="J167" s="13" t="s">
        <v>162</v>
      </c>
      <c r="K167" s="13" t="s">
        <v>305</v>
      </c>
      <c r="L167" s="15">
        <v>332.1</v>
      </c>
      <c r="M167" s="13">
        <v>5</v>
      </c>
      <c r="N167" s="16">
        <v>0</v>
      </c>
      <c r="O167" s="15">
        <v>118.47</v>
      </c>
      <c r="P167" s="17">
        <f t="shared" si="2"/>
        <v>0.35672990063233961</v>
      </c>
    </row>
    <row r="168" spans="1:16" ht="15" customHeight="1" x14ac:dyDescent="0.25">
      <c r="A168" s="8" t="s">
        <v>497</v>
      </c>
      <c r="B168" s="9">
        <v>45275</v>
      </c>
      <c r="C168" s="9">
        <v>45277</v>
      </c>
      <c r="D168" s="8" t="s">
        <v>498</v>
      </c>
      <c r="E168" s="8" t="s">
        <v>418</v>
      </c>
      <c r="F168" s="8" t="s">
        <v>28</v>
      </c>
      <c r="G168" s="8" t="s">
        <v>43</v>
      </c>
      <c r="H168" s="8" t="s">
        <v>95</v>
      </c>
      <c r="I168" s="8" t="s">
        <v>30</v>
      </c>
      <c r="J168" s="8" t="s">
        <v>114</v>
      </c>
      <c r="K168" s="8" t="s">
        <v>115</v>
      </c>
      <c r="L168" s="10">
        <v>60.02</v>
      </c>
      <c r="M168" s="8">
        <v>7</v>
      </c>
      <c r="N168" s="11">
        <v>0.3</v>
      </c>
      <c r="O168" s="10">
        <v>26.17</v>
      </c>
      <c r="P168" s="12">
        <f t="shared" si="2"/>
        <v>0.43602132622459183</v>
      </c>
    </row>
    <row r="169" spans="1:16" ht="15" customHeight="1" x14ac:dyDescent="0.25">
      <c r="A169" s="13" t="s">
        <v>499</v>
      </c>
      <c r="B169" s="14">
        <v>45073</v>
      </c>
      <c r="C169" s="14">
        <v>45080</v>
      </c>
      <c r="D169" s="13" t="s">
        <v>500</v>
      </c>
      <c r="E169" s="13" t="s">
        <v>235</v>
      </c>
      <c r="F169" s="13" t="s">
        <v>28</v>
      </c>
      <c r="G169" s="13" t="s">
        <v>58</v>
      </c>
      <c r="H169" s="13" t="s">
        <v>59</v>
      </c>
      <c r="I169" s="13" t="s">
        <v>22</v>
      </c>
      <c r="J169" s="13" t="s">
        <v>45</v>
      </c>
      <c r="K169" s="13" t="s">
        <v>46</v>
      </c>
      <c r="L169" s="15">
        <v>1582.03</v>
      </c>
      <c r="M169" s="13">
        <v>4</v>
      </c>
      <c r="N169" s="16">
        <v>0.3</v>
      </c>
      <c r="O169" s="15">
        <v>604.69000000000005</v>
      </c>
      <c r="P169" s="17">
        <f t="shared" si="2"/>
        <v>0.38222410447336652</v>
      </c>
    </row>
    <row r="170" spans="1:16" ht="15" customHeight="1" x14ac:dyDescent="0.25">
      <c r="A170" s="8" t="s">
        <v>501</v>
      </c>
      <c r="B170" s="9">
        <v>44745</v>
      </c>
      <c r="C170" s="9">
        <v>44752</v>
      </c>
      <c r="D170" s="8" t="s">
        <v>502</v>
      </c>
      <c r="E170" s="8" t="s">
        <v>170</v>
      </c>
      <c r="F170" s="8" t="s">
        <v>19</v>
      </c>
      <c r="G170" s="8" t="s">
        <v>43</v>
      </c>
      <c r="H170" s="8" t="s">
        <v>95</v>
      </c>
      <c r="I170" s="8" t="s">
        <v>30</v>
      </c>
      <c r="J170" s="8" t="s">
        <v>60</v>
      </c>
      <c r="K170" s="8" t="s">
        <v>61</v>
      </c>
      <c r="L170" s="10">
        <v>143.77000000000001</v>
      </c>
      <c r="M170" s="8">
        <v>7</v>
      </c>
      <c r="N170" s="11">
        <v>0.1</v>
      </c>
      <c r="O170" s="10">
        <v>58.86</v>
      </c>
      <c r="P170" s="12">
        <f t="shared" si="2"/>
        <v>0.40940390902135354</v>
      </c>
    </row>
    <row r="171" spans="1:16" ht="15" customHeight="1" x14ac:dyDescent="0.25">
      <c r="A171" s="13" t="s">
        <v>503</v>
      </c>
      <c r="B171" s="14">
        <v>45255</v>
      </c>
      <c r="C171" s="14">
        <v>45260</v>
      </c>
      <c r="D171" s="13" t="s">
        <v>504</v>
      </c>
      <c r="E171" s="13" t="s">
        <v>57</v>
      </c>
      <c r="F171" s="13" t="s">
        <v>28</v>
      </c>
      <c r="G171" s="13" t="s">
        <v>43</v>
      </c>
      <c r="H171" s="13" t="s">
        <v>129</v>
      </c>
      <c r="I171" s="13" t="s">
        <v>22</v>
      </c>
      <c r="J171" s="13" t="s">
        <v>45</v>
      </c>
      <c r="K171" s="13" t="s">
        <v>72</v>
      </c>
      <c r="L171" s="15">
        <v>1888.18</v>
      </c>
      <c r="M171" s="13">
        <v>6</v>
      </c>
      <c r="N171" s="16">
        <v>0.2</v>
      </c>
      <c r="O171" s="15">
        <v>740.1</v>
      </c>
      <c r="P171" s="17">
        <f t="shared" si="2"/>
        <v>0.3919647491234946</v>
      </c>
    </row>
    <row r="172" spans="1:16" ht="15" customHeight="1" x14ac:dyDescent="0.25">
      <c r="A172" s="8" t="s">
        <v>505</v>
      </c>
      <c r="B172" s="9">
        <v>44896</v>
      </c>
      <c r="C172" s="9">
        <v>44897</v>
      </c>
      <c r="D172" s="8" t="s">
        <v>506</v>
      </c>
      <c r="E172" s="8" t="s">
        <v>90</v>
      </c>
      <c r="F172" s="8" t="s">
        <v>50</v>
      </c>
      <c r="G172" s="8" t="s">
        <v>43</v>
      </c>
      <c r="H172" s="8" t="s">
        <v>129</v>
      </c>
      <c r="I172" s="8" t="s">
        <v>22</v>
      </c>
      <c r="J172" s="8" t="s">
        <v>76</v>
      </c>
      <c r="K172" s="8" t="s">
        <v>77</v>
      </c>
      <c r="L172" s="10">
        <v>4971.01</v>
      </c>
      <c r="M172" s="8">
        <v>7</v>
      </c>
      <c r="N172" s="11">
        <v>0.2</v>
      </c>
      <c r="O172" s="10">
        <v>2130.46</v>
      </c>
      <c r="P172" s="12">
        <f t="shared" si="2"/>
        <v>0.42857688880126976</v>
      </c>
    </row>
    <row r="173" spans="1:16" ht="15" customHeight="1" x14ac:dyDescent="0.25">
      <c r="A173" s="13" t="s">
        <v>507</v>
      </c>
      <c r="B173" s="14">
        <v>44646</v>
      </c>
      <c r="C173" s="14">
        <v>44649</v>
      </c>
      <c r="D173" s="13" t="s">
        <v>508</v>
      </c>
      <c r="E173" s="13" t="s">
        <v>209</v>
      </c>
      <c r="F173" s="13" t="s">
        <v>28</v>
      </c>
      <c r="G173" s="13" t="s">
        <v>36</v>
      </c>
      <c r="H173" s="13" t="s">
        <v>174</v>
      </c>
      <c r="I173" s="13" t="s">
        <v>30</v>
      </c>
      <c r="J173" s="13" t="s">
        <v>60</v>
      </c>
      <c r="K173" s="13" t="s">
        <v>61</v>
      </c>
      <c r="L173" s="15">
        <v>125.09</v>
      </c>
      <c r="M173" s="13">
        <v>7</v>
      </c>
      <c r="N173" s="16">
        <v>0</v>
      </c>
      <c r="O173" s="15">
        <v>53.43</v>
      </c>
      <c r="P173" s="17">
        <f t="shared" si="2"/>
        <v>0.42713246462546967</v>
      </c>
    </row>
    <row r="174" spans="1:16" ht="15" customHeight="1" x14ac:dyDescent="0.25">
      <c r="A174" s="8" t="s">
        <v>509</v>
      </c>
      <c r="B174" s="9">
        <v>44838</v>
      </c>
      <c r="C174" s="9">
        <v>44839</v>
      </c>
      <c r="D174" s="8" t="s">
        <v>510</v>
      </c>
      <c r="E174" s="8" t="s">
        <v>35</v>
      </c>
      <c r="F174" s="8" t="s">
        <v>19</v>
      </c>
      <c r="G174" s="8" t="s">
        <v>36</v>
      </c>
      <c r="H174" s="8" t="s">
        <v>232</v>
      </c>
      <c r="I174" s="8" t="s">
        <v>52</v>
      </c>
      <c r="J174" s="8" t="s">
        <v>153</v>
      </c>
      <c r="K174" s="8" t="s">
        <v>411</v>
      </c>
      <c r="L174" s="10">
        <v>875.25</v>
      </c>
      <c r="M174" s="8">
        <v>9</v>
      </c>
      <c r="N174" s="11">
        <v>0</v>
      </c>
      <c r="O174" s="10">
        <v>388.12</v>
      </c>
      <c r="P174" s="12">
        <f t="shared" si="2"/>
        <v>0.44343901742359326</v>
      </c>
    </row>
    <row r="175" spans="1:16" ht="15" customHeight="1" x14ac:dyDescent="0.25">
      <c r="A175" s="13" t="s">
        <v>511</v>
      </c>
      <c r="B175" s="14">
        <v>45173</v>
      </c>
      <c r="C175" s="14">
        <v>45178</v>
      </c>
      <c r="D175" s="13" t="s">
        <v>512</v>
      </c>
      <c r="E175" s="13" t="s">
        <v>184</v>
      </c>
      <c r="F175" s="13" t="s">
        <v>19</v>
      </c>
      <c r="G175" s="13" t="s">
        <v>43</v>
      </c>
      <c r="H175" s="13" t="s">
        <v>129</v>
      </c>
      <c r="I175" s="13" t="s">
        <v>52</v>
      </c>
      <c r="J175" s="13" t="s">
        <v>153</v>
      </c>
      <c r="K175" s="13" t="s">
        <v>154</v>
      </c>
      <c r="L175" s="15">
        <v>201.13</v>
      </c>
      <c r="M175" s="13">
        <v>2</v>
      </c>
      <c r="N175" s="16">
        <v>0.05</v>
      </c>
      <c r="O175" s="15">
        <v>61.75</v>
      </c>
      <c r="P175" s="17">
        <f t="shared" si="2"/>
        <v>0.30701536319793171</v>
      </c>
    </row>
    <row r="176" spans="1:16" ht="15" customHeight="1" x14ac:dyDescent="0.25">
      <c r="A176" s="8" t="s">
        <v>513</v>
      </c>
      <c r="B176" s="9">
        <v>44704</v>
      </c>
      <c r="C176" s="9">
        <v>44707</v>
      </c>
      <c r="D176" s="8" t="s">
        <v>514</v>
      </c>
      <c r="E176" s="8" t="s">
        <v>319</v>
      </c>
      <c r="F176" s="8" t="s">
        <v>50</v>
      </c>
      <c r="G176" s="8" t="s">
        <v>43</v>
      </c>
      <c r="H176" s="8" t="s">
        <v>44</v>
      </c>
      <c r="I176" s="8" t="s">
        <v>22</v>
      </c>
      <c r="J176" s="8" t="s">
        <v>45</v>
      </c>
      <c r="K176" s="8" t="s">
        <v>46</v>
      </c>
      <c r="L176" s="10">
        <v>2761.79</v>
      </c>
      <c r="M176" s="8">
        <v>7</v>
      </c>
      <c r="N176" s="11">
        <v>0.1</v>
      </c>
      <c r="O176" s="10">
        <v>908.47</v>
      </c>
      <c r="P176" s="12">
        <f t="shared" si="2"/>
        <v>0.32894246122985454</v>
      </c>
    </row>
    <row r="177" spans="1:16" ht="15" customHeight="1" x14ac:dyDescent="0.25">
      <c r="A177" s="13" t="s">
        <v>515</v>
      </c>
      <c r="B177" s="14">
        <v>44814</v>
      </c>
      <c r="C177" s="14">
        <v>44820</v>
      </c>
      <c r="D177" s="13" t="s">
        <v>516</v>
      </c>
      <c r="E177" s="13" t="s">
        <v>86</v>
      </c>
      <c r="F177" s="13" t="s">
        <v>50</v>
      </c>
      <c r="G177" s="13" t="s">
        <v>58</v>
      </c>
      <c r="H177" s="13" t="s">
        <v>87</v>
      </c>
      <c r="I177" s="13" t="s">
        <v>22</v>
      </c>
      <c r="J177" s="13" t="s">
        <v>23</v>
      </c>
      <c r="K177" s="13" t="s">
        <v>125</v>
      </c>
      <c r="L177" s="15">
        <v>37.99</v>
      </c>
      <c r="M177" s="13">
        <v>1</v>
      </c>
      <c r="N177" s="16">
        <v>0.15</v>
      </c>
      <c r="O177" s="15">
        <v>9.1</v>
      </c>
      <c r="P177" s="17">
        <f t="shared" si="2"/>
        <v>0.23953672018952354</v>
      </c>
    </row>
    <row r="178" spans="1:16" ht="15" customHeight="1" x14ac:dyDescent="0.25">
      <c r="A178" s="8" t="s">
        <v>517</v>
      </c>
      <c r="B178" s="9">
        <v>44904</v>
      </c>
      <c r="C178" s="9">
        <v>44908</v>
      </c>
      <c r="D178" s="8" t="s">
        <v>518</v>
      </c>
      <c r="E178" s="8" t="s">
        <v>139</v>
      </c>
      <c r="F178" s="8" t="s">
        <v>50</v>
      </c>
      <c r="G178" s="8" t="s">
        <v>36</v>
      </c>
      <c r="H178" s="8" t="s">
        <v>37</v>
      </c>
      <c r="I178" s="8" t="s">
        <v>30</v>
      </c>
      <c r="J178" s="8" t="s">
        <v>60</v>
      </c>
      <c r="K178" s="8" t="s">
        <v>140</v>
      </c>
      <c r="L178" s="10">
        <v>80.349999999999994</v>
      </c>
      <c r="M178" s="8">
        <v>6</v>
      </c>
      <c r="N178" s="11">
        <v>0.2</v>
      </c>
      <c r="O178" s="10">
        <v>16.7</v>
      </c>
      <c r="P178" s="12">
        <f t="shared" si="2"/>
        <v>0.20784069695084009</v>
      </c>
    </row>
    <row r="179" spans="1:16" ht="15" customHeight="1" x14ac:dyDescent="0.25">
      <c r="A179" s="13" t="s">
        <v>519</v>
      </c>
      <c r="B179" s="14">
        <v>44895</v>
      </c>
      <c r="C179" s="14">
        <v>44899</v>
      </c>
      <c r="D179" s="13" t="s">
        <v>520</v>
      </c>
      <c r="E179" s="13" t="s">
        <v>94</v>
      </c>
      <c r="F179" s="13" t="s">
        <v>50</v>
      </c>
      <c r="G179" s="13" t="s">
        <v>43</v>
      </c>
      <c r="H179" s="13" t="s">
        <v>129</v>
      </c>
      <c r="I179" s="13" t="s">
        <v>22</v>
      </c>
      <c r="J179" s="13" t="s">
        <v>23</v>
      </c>
      <c r="K179" s="13" t="s">
        <v>24</v>
      </c>
      <c r="L179" s="15">
        <v>293.22000000000003</v>
      </c>
      <c r="M179" s="13">
        <v>9</v>
      </c>
      <c r="N179" s="16">
        <v>0</v>
      </c>
      <c r="O179" s="15">
        <v>62.09</v>
      </c>
      <c r="P179" s="17">
        <f t="shared" si="2"/>
        <v>0.21175226792169702</v>
      </c>
    </row>
    <row r="180" spans="1:16" ht="15" customHeight="1" x14ac:dyDescent="0.25">
      <c r="A180" s="8" t="s">
        <v>521</v>
      </c>
      <c r="B180" s="9">
        <v>44860</v>
      </c>
      <c r="C180" s="9">
        <v>44867</v>
      </c>
      <c r="D180" s="8" t="s">
        <v>522</v>
      </c>
      <c r="E180" s="8" t="s">
        <v>256</v>
      </c>
      <c r="F180" s="8" t="s">
        <v>28</v>
      </c>
      <c r="G180" s="8" t="s">
        <v>20</v>
      </c>
      <c r="H180" s="8" t="s">
        <v>167</v>
      </c>
      <c r="I180" s="8" t="s">
        <v>52</v>
      </c>
      <c r="J180" s="8" t="s">
        <v>53</v>
      </c>
      <c r="K180" s="8" t="s">
        <v>54</v>
      </c>
      <c r="L180" s="10">
        <v>1198.6500000000001</v>
      </c>
      <c r="M180" s="8">
        <v>5</v>
      </c>
      <c r="N180" s="11">
        <v>0</v>
      </c>
      <c r="O180" s="10">
        <v>325.06</v>
      </c>
      <c r="P180" s="12">
        <f t="shared" si="2"/>
        <v>0.27118842030617779</v>
      </c>
    </row>
    <row r="181" spans="1:16" ht="15" customHeight="1" x14ac:dyDescent="0.25">
      <c r="A181" s="13" t="s">
        <v>523</v>
      </c>
      <c r="B181" s="14">
        <v>45174</v>
      </c>
      <c r="C181" s="14">
        <v>45178</v>
      </c>
      <c r="D181" s="13" t="s">
        <v>524</v>
      </c>
      <c r="E181" s="13" t="s">
        <v>202</v>
      </c>
      <c r="F181" s="13" t="s">
        <v>28</v>
      </c>
      <c r="G181" s="13" t="s">
        <v>58</v>
      </c>
      <c r="H181" s="13" t="s">
        <v>181</v>
      </c>
      <c r="I181" s="13" t="s">
        <v>22</v>
      </c>
      <c r="J181" s="13" t="s">
        <v>76</v>
      </c>
      <c r="K181" s="13" t="s">
        <v>77</v>
      </c>
      <c r="L181" s="15">
        <v>8546.76</v>
      </c>
      <c r="M181" s="13">
        <v>9</v>
      </c>
      <c r="N181" s="16">
        <v>0</v>
      </c>
      <c r="O181" s="15">
        <v>3612.35</v>
      </c>
      <c r="P181" s="17">
        <f t="shared" si="2"/>
        <v>0.42265724087256457</v>
      </c>
    </row>
    <row r="182" spans="1:16" ht="15" customHeight="1" x14ac:dyDescent="0.25">
      <c r="A182" s="8" t="s">
        <v>525</v>
      </c>
      <c r="B182" s="9">
        <v>45224</v>
      </c>
      <c r="C182" s="9">
        <v>45229</v>
      </c>
      <c r="D182" s="8" t="s">
        <v>526</v>
      </c>
      <c r="E182" s="8" t="s">
        <v>340</v>
      </c>
      <c r="F182" s="8" t="s">
        <v>50</v>
      </c>
      <c r="G182" s="8" t="s">
        <v>20</v>
      </c>
      <c r="H182" s="8" t="s">
        <v>167</v>
      </c>
      <c r="I182" s="8" t="s">
        <v>52</v>
      </c>
      <c r="J182" s="8" t="s">
        <v>264</v>
      </c>
      <c r="K182" s="8" t="s">
        <v>281</v>
      </c>
      <c r="L182" s="10">
        <v>330.52</v>
      </c>
      <c r="M182" s="8">
        <v>2</v>
      </c>
      <c r="N182" s="11">
        <v>0.05</v>
      </c>
      <c r="O182" s="10">
        <v>111.9</v>
      </c>
      <c r="P182" s="12">
        <f t="shared" si="2"/>
        <v>0.33855742466416561</v>
      </c>
    </row>
    <row r="183" spans="1:16" ht="15" customHeight="1" x14ac:dyDescent="0.25">
      <c r="A183" s="13" t="s">
        <v>527</v>
      </c>
      <c r="B183" s="14">
        <v>44915</v>
      </c>
      <c r="C183" s="14">
        <v>44916</v>
      </c>
      <c r="D183" s="13" t="s">
        <v>528</v>
      </c>
      <c r="E183" s="13" t="s">
        <v>157</v>
      </c>
      <c r="F183" s="13" t="s">
        <v>50</v>
      </c>
      <c r="G183" s="13" t="s">
        <v>58</v>
      </c>
      <c r="H183" s="13" t="s">
        <v>81</v>
      </c>
      <c r="I183" s="13" t="s">
        <v>52</v>
      </c>
      <c r="J183" s="13" t="s">
        <v>264</v>
      </c>
      <c r="K183" s="13" t="s">
        <v>281</v>
      </c>
      <c r="L183" s="15">
        <v>462.09</v>
      </c>
      <c r="M183" s="13">
        <v>3</v>
      </c>
      <c r="N183" s="16">
        <v>0.15</v>
      </c>
      <c r="O183" s="15">
        <v>155.34</v>
      </c>
      <c r="P183" s="17">
        <f t="shared" si="2"/>
        <v>0.33616827890670653</v>
      </c>
    </row>
    <row r="184" spans="1:16" ht="15" customHeight="1" x14ac:dyDescent="0.25">
      <c r="A184" s="8" t="s">
        <v>529</v>
      </c>
      <c r="B184" s="9">
        <v>44918</v>
      </c>
      <c r="C184" s="9">
        <v>44922</v>
      </c>
      <c r="D184" s="8" t="s">
        <v>530</v>
      </c>
      <c r="E184" s="8" t="s">
        <v>80</v>
      </c>
      <c r="F184" s="8" t="s">
        <v>28</v>
      </c>
      <c r="G184" s="8" t="s">
        <v>20</v>
      </c>
      <c r="H184" s="8" t="s">
        <v>167</v>
      </c>
      <c r="I184" s="8" t="s">
        <v>30</v>
      </c>
      <c r="J184" s="8" t="s">
        <v>31</v>
      </c>
      <c r="K184" s="8" t="s">
        <v>65</v>
      </c>
      <c r="L184" s="10">
        <v>187.18</v>
      </c>
      <c r="M184" s="8">
        <v>2</v>
      </c>
      <c r="N184" s="11">
        <v>0</v>
      </c>
      <c r="O184" s="10">
        <v>83.17</v>
      </c>
      <c r="P184" s="12">
        <f t="shared" si="2"/>
        <v>0.44433165936531682</v>
      </c>
    </row>
    <row r="185" spans="1:16" ht="15" customHeight="1" x14ac:dyDescent="0.25">
      <c r="A185" s="13" t="s">
        <v>531</v>
      </c>
      <c r="B185" s="14">
        <v>44811</v>
      </c>
      <c r="C185" s="14">
        <v>44816</v>
      </c>
      <c r="D185" s="13" t="s">
        <v>532</v>
      </c>
      <c r="E185" s="13" t="s">
        <v>106</v>
      </c>
      <c r="F185" s="13" t="s">
        <v>50</v>
      </c>
      <c r="G185" s="13" t="s">
        <v>36</v>
      </c>
      <c r="H185" s="13" t="s">
        <v>136</v>
      </c>
      <c r="I185" s="13" t="s">
        <v>30</v>
      </c>
      <c r="J185" s="13" t="s">
        <v>31</v>
      </c>
      <c r="K185" s="13" t="s">
        <v>65</v>
      </c>
      <c r="L185" s="15">
        <v>459.4</v>
      </c>
      <c r="M185" s="13">
        <v>4</v>
      </c>
      <c r="N185" s="16">
        <v>0</v>
      </c>
      <c r="O185" s="15">
        <v>185.32</v>
      </c>
      <c r="P185" s="17">
        <f t="shared" si="2"/>
        <v>0.40339573356552028</v>
      </c>
    </row>
    <row r="186" spans="1:16" ht="15" customHeight="1" x14ac:dyDescent="0.25">
      <c r="A186" s="8" t="s">
        <v>533</v>
      </c>
      <c r="B186" s="9">
        <v>45190</v>
      </c>
      <c r="C186" s="9">
        <v>45192</v>
      </c>
      <c r="D186" s="8" t="s">
        <v>534</v>
      </c>
      <c r="E186" s="8" t="s">
        <v>402</v>
      </c>
      <c r="F186" s="8" t="s">
        <v>50</v>
      </c>
      <c r="G186" s="8" t="s">
        <v>58</v>
      </c>
      <c r="H186" s="8" t="s">
        <v>181</v>
      </c>
      <c r="I186" s="8" t="s">
        <v>22</v>
      </c>
      <c r="J186" s="8" t="s">
        <v>23</v>
      </c>
      <c r="K186" s="8" t="s">
        <v>143</v>
      </c>
      <c r="L186" s="10">
        <v>208</v>
      </c>
      <c r="M186" s="8">
        <v>5</v>
      </c>
      <c r="N186" s="11">
        <v>0</v>
      </c>
      <c r="O186" s="10">
        <v>63.58</v>
      </c>
      <c r="P186" s="12">
        <f t="shared" si="2"/>
        <v>0.30567307692307694</v>
      </c>
    </row>
    <row r="187" spans="1:16" ht="15" customHeight="1" x14ac:dyDescent="0.25">
      <c r="A187" s="13" t="s">
        <v>535</v>
      </c>
      <c r="B187" s="14">
        <v>44895</v>
      </c>
      <c r="C187" s="14">
        <v>44897</v>
      </c>
      <c r="D187" s="13" t="s">
        <v>536</v>
      </c>
      <c r="E187" s="13" t="s">
        <v>86</v>
      </c>
      <c r="F187" s="13" t="s">
        <v>50</v>
      </c>
      <c r="G187" s="13" t="s">
        <v>58</v>
      </c>
      <c r="H187" s="13" t="s">
        <v>81</v>
      </c>
      <c r="I187" s="13" t="s">
        <v>30</v>
      </c>
      <c r="J187" s="13" t="s">
        <v>31</v>
      </c>
      <c r="K187" s="13" t="s">
        <v>240</v>
      </c>
      <c r="L187" s="15">
        <v>510.1</v>
      </c>
      <c r="M187" s="13">
        <v>6</v>
      </c>
      <c r="N187" s="16">
        <v>0.2</v>
      </c>
      <c r="O187" s="15">
        <v>154.69</v>
      </c>
      <c r="P187" s="17">
        <f t="shared" si="2"/>
        <v>0.30325426386982945</v>
      </c>
    </row>
    <row r="188" spans="1:16" ht="15" customHeight="1" x14ac:dyDescent="0.25">
      <c r="A188" s="8" t="s">
        <v>537</v>
      </c>
      <c r="B188" s="9">
        <v>45194</v>
      </c>
      <c r="C188" s="9">
        <v>45196</v>
      </c>
      <c r="D188" s="8" t="s">
        <v>538</v>
      </c>
      <c r="E188" s="8" t="s">
        <v>259</v>
      </c>
      <c r="F188" s="8" t="s">
        <v>28</v>
      </c>
      <c r="G188" s="8" t="s">
        <v>43</v>
      </c>
      <c r="H188" s="8" t="s">
        <v>95</v>
      </c>
      <c r="I188" s="8" t="s">
        <v>22</v>
      </c>
      <c r="J188" s="8" t="s">
        <v>76</v>
      </c>
      <c r="K188" s="8" t="s">
        <v>91</v>
      </c>
      <c r="L188" s="10">
        <v>3357.24</v>
      </c>
      <c r="M188" s="8">
        <v>4</v>
      </c>
      <c r="N188" s="11">
        <v>0</v>
      </c>
      <c r="O188" s="10">
        <v>1197.44</v>
      </c>
      <c r="P188" s="12">
        <f t="shared" si="2"/>
        <v>0.35667393454146862</v>
      </c>
    </row>
    <row r="189" spans="1:16" ht="15" customHeight="1" x14ac:dyDescent="0.25">
      <c r="A189" s="13" t="s">
        <v>539</v>
      </c>
      <c r="B189" s="14">
        <v>44990</v>
      </c>
      <c r="C189" s="14">
        <v>44995</v>
      </c>
      <c r="D189" s="13" t="s">
        <v>251</v>
      </c>
      <c r="E189" s="13" t="s">
        <v>128</v>
      </c>
      <c r="F189" s="13" t="s">
        <v>50</v>
      </c>
      <c r="G189" s="13" t="s">
        <v>36</v>
      </c>
      <c r="H189" s="13" t="s">
        <v>174</v>
      </c>
      <c r="I189" s="13" t="s">
        <v>22</v>
      </c>
      <c r="J189" s="13" t="s">
        <v>38</v>
      </c>
      <c r="K189" s="13" t="s">
        <v>158</v>
      </c>
      <c r="L189" s="15">
        <v>3346.65</v>
      </c>
      <c r="M189" s="13">
        <v>9</v>
      </c>
      <c r="N189" s="16">
        <v>0</v>
      </c>
      <c r="O189" s="15">
        <v>1041.72</v>
      </c>
      <c r="P189" s="17">
        <f t="shared" si="2"/>
        <v>0.3112724664963471</v>
      </c>
    </row>
    <row r="190" spans="1:16" ht="15" customHeight="1" x14ac:dyDescent="0.25">
      <c r="A190" s="8" t="s">
        <v>540</v>
      </c>
      <c r="B190" s="9">
        <v>44753</v>
      </c>
      <c r="C190" s="9">
        <v>44756</v>
      </c>
      <c r="D190" s="8" t="s">
        <v>541</v>
      </c>
      <c r="E190" s="8" t="s">
        <v>270</v>
      </c>
      <c r="F190" s="8" t="s">
        <v>50</v>
      </c>
      <c r="G190" s="8" t="s">
        <v>58</v>
      </c>
      <c r="H190" s="8" t="s">
        <v>81</v>
      </c>
      <c r="I190" s="8" t="s">
        <v>22</v>
      </c>
      <c r="J190" s="8" t="s">
        <v>38</v>
      </c>
      <c r="K190" s="8" t="s">
        <v>39</v>
      </c>
      <c r="L190" s="10">
        <v>1090.29</v>
      </c>
      <c r="M190" s="8">
        <v>4</v>
      </c>
      <c r="N190" s="11">
        <v>0.3</v>
      </c>
      <c r="O190" s="10">
        <v>379.11</v>
      </c>
      <c r="P190" s="12">
        <f t="shared" si="2"/>
        <v>0.34771482816498367</v>
      </c>
    </row>
    <row r="191" spans="1:16" ht="15" customHeight="1" x14ac:dyDescent="0.25">
      <c r="A191" s="13" t="s">
        <v>542</v>
      </c>
      <c r="B191" s="14">
        <v>45062</v>
      </c>
      <c r="C191" s="14">
        <v>45064</v>
      </c>
      <c r="D191" s="13" t="s">
        <v>543</v>
      </c>
      <c r="E191" s="13" t="s">
        <v>35</v>
      </c>
      <c r="F191" s="13" t="s">
        <v>19</v>
      </c>
      <c r="G191" s="13" t="s">
        <v>20</v>
      </c>
      <c r="H191" s="13" t="s">
        <v>99</v>
      </c>
      <c r="I191" s="13" t="s">
        <v>52</v>
      </c>
      <c r="J191" s="13" t="s">
        <v>264</v>
      </c>
      <c r="K191" s="13" t="s">
        <v>265</v>
      </c>
      <c r="L191" s="15">
        <v>786.2</v>
      </c>
      <c r="M191" s="13">
        <v>4</v>
      </c>
      <c r="N191" s="16">
        <v>0</v>
      </c>
      <c r="O191" s="15">
        <v>200.34</v>
      </c>
      <c r="P191" s="17">
        <f t="shared" si="2"/>
        <v>0.25482065632154666</v>
      </c>
    </row>
    <row r="192" spans="1:16" ht="15" customHeight="1" x14ac:dyDescent="0.25">
      <c r="A192" s="8" t="s">
        <v>544</v>
      </c>
      <c r="B192" s="9">
        <v>45148</v>
      </c>
      <c r="C192" s="9">
        <v>45149</v>
      </c>
      <c r="D192" s="8" t="s">
        <v>545</v>
      </c>
      <c r="E192" s="8" t="s">
        <v>235</v>
      </c>
      <c r="F192" s="8" t="s">
        <v>28</v>
      </c>
      <c r="G192" s="8" t="s">
        <v>43</v>
      </c>
      <c r="H192" s="8" t="s">
        <v>44</v>
      </c>
      <c r="I192" s="8" t="s">
        <v>22</v>
      </c>
      <c r="J192" s="8" t="s">
        <v>38</v>
      </c>
      <c r="K192" s="8" t="s">
        <v>158</v>
      </c>
      <c r="L192" s="10">
        <v>1658.12</v>
      </c>
      <c r="M192" s="8">
        <v>4</v>
      </c>
      <c r="N192" s="11">
        <v>0</v>
      </c>
      <c r="O192" s="10">
        <v>441.06</v>
      </c>
      <c r="P192" s="12">
        <f t="shared" si="2"/>
        <v>0.26600004824741275</v>
      </c>
    </row>
    <row r="193" spans="1:16" ht="15" customHeight="1" x14ac:dyDescent="0.25">
      <c r="A193" s="13" t="s">
        <v>546</v>
      </c>
      <c r="B193" s="14">
        <v>45022</v>
      </c>
      <c r="C193" s="14">
        <v>45025</v>
      </c>
      <c r="D193" s="13" t="s">
        <v>547</v>
      </c>
      <c r="E193" s="13" t="s">
        <v>482</v>
      </c>
      <c r="F193" s="13" t="s">
        <v>50</v>
      </c>
      <c r="G193" s="13" t="s">
        <v>43</v>
      </c>
      <c r="H193" s="13" t="s">
        <v>95</v>
      </c>
      <c r="I193" s="13" t="s">
        <v>22</v>
      </c>
      <c r="J193" s="13" t="s">
        <v>23</v>
      </c>
      <c r="K193" s="13" t="s">
        <v>143</v>
      </c>
      <c r="L193" s="15">
        <v>324.8</v>
      </c>
      <c r="M193" s="13">
        <v>10</v>
      </c>
      <c r="N193" s="16">
        <v>0.2</v>
      </c>
      <c r="O193" s="15">
        <v>132.68</v>
      </c>
      <c r="P193" s="17">
        <f t="shared" si="2"/>
        <v>0.40849753694581281</v>
      </c>
    </row>
    <row r="194" spans="1:16" ht="15" customHeight="1" x14ac:dyDescent="0.25">
      <c r="A194" s="8" t="s">
        <v>548</v>
      </c>
      <c r="B194" s="9">
        <v>44622</v>
      </c>
      <c r="C194" s="9">
        <v>44627</v>
      </c>
      <c r="D194" s="8" t="s">
        <v>549</v>
      </c>
      <c r="E194" s="8" t="s">
        <v>80</v>
      </c>
      <c r="F194" s="8" t="s">
        <v>28</v>
      </c>
      <c r="G194" s="8" t="s">
        <v>43</v>
      </c>
      <c r="H194" s="8" t="s">
        <v>44</v>
      </c>
      <c r="I194" s="8" t="s">
        <v>30</v>
      </c>
      <c r="J194" s="8" t="s">
        <v>60</v>
      </c>
      <c r="K194" s="8" t="s">
        <v>140</v>
      </c>
      <c r="L194" s="10">
        <v>79.38</v>
      </c>
      <c r="M194" s="8">
        <v>5</v>
      </c>
      <c r="N194" s="11">
        <v>0.1</v>
      </c>
      <c r="O194" s="10">
        <v>16.82</v>
      </c>
      <c r="P194" s="12">
        <f t="shared" ref="P194:P257" si="3">O194/L194</f>
        <v>0.21189216427311666</v>
      </c>
    </row>
    <row r="195" spans="1:16" ht="15" customHeight="1" x14ac:dyDescent="0.25">
      <c r="A195" s="13" t="s">
        <v>550</v>
      </c>
      <c r="B195" s="14">
        <v>44983</v>
      </c>
      <c r="C195" s="14">
        <v>44984</v>
      </c>
      <c r="D195" s="13" t="s">
        <v>551</v>
      </c>
      <c r="E195" s="13" t="s">
        <v>177</v>
      </c>
      <c r="F195" s="13" t="s">
        <v>28</v>
      </c>
      <c r="G195" s="13" t="s">
        <v>43</v>
      </c>
      <c r="H195" s="13" t="s">
        <v>51</v>
      </c>
      <c r="I195" s="13" t="s">
        <v>22</v>
      </c>
      <c r="J195" s="13" t="s">
        <v>23</v>
      </c>
      <c r="K195" s="13" t="s">
        <v>143</v>
      </c>
      <c r="L195" s="15">
        <v>205.44</v>
      </c>
      <c r="M195" s="13">
        <v>6</v>
      </c>
      <c r="N195" s="16">
        <v>0.2</v>
      </c>
      <c r="O195" s="15">
        <v>67.31</v>
      </c>
      <c r="P195" s="17">
        <f t="shared" si="3"/>
        <v>0.32763823987538943</v>
      </c>
    </row>
    <row r="196" spans="1:16" ht="15" customHeight="1" x14ac:dyDescent="0.25">
      <c r="A196" s="8" t="s">
        <v>552</v>
      </c>
      <c r="B196" s="9">
        <v>45024</v>
      </c>
      <c r="C196" s="9">
        <v>45025</v>
      </c>
      <c r="D196" s="8" t="s">
        <v>553</v>
      </c>
      <c r="E196" s="8" t="s">
        <v>256</v>
      </c>
      <c r="F196" s="8" t="s">
        <v>28</v>
      </c>
      <c r="G196" s="8" t="s">
        <v>20</v>
      </c>
      <c r="H196" s="8" t="s">
        <v>167</v>
      </c>
      <c r="I196" s="8" t="s">
        <v>30</v>
      </c>
      <c r="J196" s="8" t="s">
        <v>162</v>
      </c>
      <c r="K196" s="8" t="s">
        <v>284</v>
      </c>
      <c r="L196" s="10">
        <v>243.6</v>
      </c>
      <c r="M196" s="8">
        <v>6</v>
      </c>
      <c r="N196" s="11">
        <v>0.3</v>
      </c>
      <c r="O196" s="10">
        <v>89.69</v>
      </c>
      <c r="P196" s="12">
        <f t="shared" si="3"/>
        <v>0.3681855500821018</v>
      </c>
    </row>
    <row r="197" spans="1:16" ht="15" customHeight="1" x14ac:dyDescent="0.25">
      <c r="A197" s="13" t="s">
        <v>554</v>
      </c>
      <c r="B197" s="14">
        <v>45212</v>
      </c>
      <c r="C197" s="14">
        <v>45218</v>
      </c>
      <c r="D197" s="13" t="s">
        <v>555</v>
      </c>
      <c r="E197" s="13" t="s">
        <v>215</v>
      </c>
      <c r="F197" s="13" t="s">
        <v>28</v>
      </c>
      <c r="G197" s="13" t="s">
        <v>43</v>
      </c>
      <c r="H197" s="13" t="s">
        <v>95</v>
      </c>
      <c r="I197" s="13" t="s">
        <v>52</v>
      </c>
      <c r="J197" s="13" t="s">
        <v>53</v>
      </c>
      <c r="K197" s="13" t="s">
        <v>199</v>
      </c>
      <c r="L197" s="15">
        <v>911.74</v>
      </c>
      <c r="M197" s="13">
        <v>4</v>
      </c>
      <c r="N197" s="16">
        <v>0.15</v>
      </c>
      <c r="O197" s="15">
        <v>221.47</v>
      </c>
      <c r="P197" s="17">
        <f t="shared" si="3"/>
        <v>0.24290916269989252</v>
      </c>
    </row>
    <row r="198" spans="1:16" ht="15" customHeight="1" x14ac:dyDescent="0.25">
      <c r="A198" s="8" t="s">
        <v>556</v>
      </c>
      <c r="B198" s="9">
        <v>45141</v>
      </c>
      <c r="C198" s="9">
        <v>45148</v>
      </c>
      <c r="D198" s="8" t="s">
        <v>557</v>
      </c>
      <c r="E198" s="8" t="s">
        <v>249</v>
      </c>
      <c r="F198" s="8" t="s">
        <v>28</v>
      </c>
      <c r="G198" s="8" t="s">
        <v>58</v>
      </c>
      <c r="H198" s="8" t="s">
        <v>59</v>
      </c>
      <c r="I198" s="8" t="s">
        <v>22</v>
      </c>
      <c r="J198" s="8" t="s">
        <v>45</v>
      </c>
      <c r="K198" s="8" t="s">
        <v>46</v>
      </c>
      <c r="L198" s="10">
        <v>3086.4</v>
      </c>
      <c r="M198" s="8">
        <v>8</v>
      </c>
      <c r="N198" s="11">
        <v>0</v>
      </c>
      <c r="O198" s="10">
        <v>1048.3800000000001</v>
      </c>
      <c r="P198" s="12">
        <f t="shared" si="3"/>
        <v>0.33967729393468121</v>
      </c>
    </row>
    <row r="199" spans="1:16" ht="15" customHeight="1" x14ac:dyDescent="0.25">
      <c r="A199" s="13" t="s">
        <v>558</v>
      </c>
      <c r="B199" s="14">
        <v>45267</v>
      </c>
      <c r="C199" s="14">
        <v>45269</v>
      </c>
      <c r="D199" s="13" t="s">
        <v>559</v>
      </c>
      <c r="E199" s="13" t="s">
        <v>560</v>
      </c>
      <c r="F199" s="13" t="s">
        <v>50</v>
      </c>
      <c r="G199" s="13" t="s">
        <v>43</v>
      </c>
      <c r="H199" s="13" t="s">
        <v>51</v>
      </c>
      <c r="I199" s="13" t="s">
        <v>22</v>
      </c>
      <c r="J199" s="13" t="s">
        <v>76</v>
      </c>
      <c r="K199" s="13" t="s">
        <v>203</v>
      </c>
      <c r="L199" s="15">
        <v>1729.46</v>
      </c>
      <c r="M199" s="13">
        <v>2</v>
      </c>
      <c r="N199" s="16">
        <v>0</v>
      </c>
      <c r="O199" s="15">
        <v>755.87</v>
      </c>
      <c r="P199" s="17">
        <f t="shared" si="3"/>
        <v>0.4370554970915777</v>
      </c>
    </row>
    <row r="200" spans="1:16" ht="15" customHeight="1" x14ac:dyDescent="0.25">
      <c r="A200" s="8" t="s">
        <v>561</v>
      </c>
      <c r="B200" s="9">
        <v>45233</v>
      </c>
      <c r="C200" s="9">
        <v>45234</v>
      </c>
      <c r="D200" s="8" t="s">
        <v>562</v>
      </c>
      <c r="E200" s="8" t="s">
        <v>166</v>
      </c>
      <c r="F200" s="8" t="s">
        <v>19</v>
      </c>
      <c r="G200" s="8" t="s">
        <v>20</v>
      </c>
      <c r="H200" s="8" t="s">
        <v>99</v>
      </c>
      <c r="I200" s="8" t="s">
        <v>52</v>
      </c>
      <c r="J200" s="8" t="s">
        <v>264</v>
      </c>
      <c r="K200" s="8" t="s">
        <v>281</v>
      </c>
      <c r="L200" s="10">
        <v>1199.24</v>
      </c>
      <c r="M200" s="8">
        <v>10</v>
      </c>
      <c r="N200" s="11">
        <v>0.3</v>
      </c>
      <c r="O200" s="10">
        <v>536.87</v>
      </c>
      <c r="P200" s="12">
        <f t="shared" si="3"/>
        <v>0.4476751942897168</v>
      </c>
    </row>
    <row r="201" spans="1:16" ht="15" customHeight="1" x14ac:dyDescent="0.25">
      <c r="A201" s="13" t="s">
        <v>563</v>
      </c>
      <c r="B201" s="14">
        <v>45272</v>
      </c>
      <c r="C201" s="14">
        <v>45274</v>
      </c>
      <c r="D201" s="13" t="s">
        <v>564</v>
      </c>
      <c r="E201" s="13" t="s">
        <v>184</v>
      </c>
      <c r="F201" s="13" t="s">
        <v>19</v>
      </c>
      <c r="G201" s="13" t="s">
        <v>58</v>
      </c>
      <c r="H201" s="13" t="s">
        <v>81</v>
      </c>
      <c r="I201" s="13" t="s">
        <v>52</v>
      </c>
      <c r="J201" s="13" t="s">
        <v>264</v>
      </c>
      <c r="K201" s="13" t="s">
        <v>344</v>
      </c>
      <c r="L201" s="15">
        <v>274.31</v>
      </c>
      <c r="M201" s="13">
        <v>2</v>
      </c>
      <c r="N201" s="16">
        <v>0.15</v>
      </c>
      <c r="O201" s="15">
        <v>63.02</v>
      </c>
      <c r="P201" s="17">
        <f t="shared" si="3"/>
        <v>0.22974007509751743</v>
      </c>
    </row>
    <row r="202" spans="1:16" ht="15" customHeight="1" x14ac:dyDescent="0.25">
      <c r="A202" s="8" t="s">
        <v>565</v>
      </c>
      <c r="B202" s="9">
        <v>45218</v>
      </c>
      <c r="C202" s="9">
        <v>45224</v>
      </c>
      <c r="D202" s="8" t="s">
        <v>566</v>
      </c>
      <c r="E202" s="8" t="s">
        <v>270</v>
      </c>
      <c r="F202" s="8" t="s">
        <v>28</v>
      </c>
      <c r="G202" s="8" t="s">
        <v>36</v>
      </c>
      <c r="H202" s="8" t="s">
        <v>232</v>
      </c>
      <c r="I202" s="8" t="s">
        <v>30</v>
      </c>
      <c r="J202" s="8" t="s">
        <v>114</v>
      </c>
      <c r="K202" s="8" t="s">
        <v>350</v>
      </c>
      <c r="L202" s="10">
        <v>35.85</v>
      </c>
      <c r="M202" s="8">
        <v>3</v>
      </c>
      <c r="N202" s="11">
        <v>0.05</v>
      </c>
      <c r="O202" s="10">
        <v>10.5</v>
      </c>
      <c r="P202" s="12">
        <f t="shared" si="3"/>
        <v>0.29288702928870292</v>
      </c>
    </row>
    <row r="203" spans="1:16" ht="15" customHeight="1" x14ac:dyDescent="0.25">
      <c r="A203" s="13" t="s">
        <v>567</v>
      </c>
      <c r="B203" s="14">
        <v>44784</v>
      </c>
      <c r="C203" s="14">
        <v>44785</v>
      </c>
      <c r="D203" s="13" t="s">
        <v>568</v>
      </c>
      <c r="E203" s="13" t="s">
        <v>431</v>
      </c>
      <c r="F203" s="13" t="s">
        <v>19</v>
      </c>
      <c r="G203" s="13" t="s">
        <v>20</v>
      </c>
      <c r="H203" s="13" t="s">
        <v>29</v>
      </c>
      <c r="I203" s="13" t="s">
        <v>30</v>
      </c>
      <c r="J203" s="13" t="s">
        <v>31</v>
      </c>
      <c r="K203" s="13" t="s">
        <v>65</v>
      </c>
      <c r="L203" s="15">
        <v>659.4</v>
      </c>
      <c r="M203" s="13">
        <v>7</v>
      </c>
      <c r="N203" s="16">
        <v>0</v>
      </c>
      <c r="O203" s="15">
        <v>255.88</v>
      </c>
      <c r="P203" s="17">
        <f t="shared" si="3"/>
        <v>0.3880497421898696</v>
      </c>
    </row>
    <row r="204" spans="1:16" ht="15" customHeight="1" x14ac:dyDescent="0.25">
      <c r="A204" s="8" t="s">
        <v>569</v>
      </c>
      <c r="B204" s="9">
        <v>45269</v>
      </c>
      <c r="C204" s="9">
        <v>45270</v>
      </c>
      <c r="D204" s="8" t="s">
        <v>570</v>
      </c>
      <c r="E204" s="8" t="s">
        <v>290</v>
      </c>
      <c r="F204" s="8" t="s">
        <v>28</v>
      </c>
      <c r="G204" s="8" t="s">
        <v>43</v>
      </c>
      <c r="H204" s="8" t="s">
        <v>51</v>
      </c>
      <c r="I204" s="8" t="s">
        <v>30</v>
      </c>
      <c r="J204" s="8" t="s">
        <v>60</v>
      </c>
      <c r="K204" s="8" t="s">
        <v>61</v>
      </c>
      <c r="L204" s="10">
        <v>123.83</v>
      </c>
      <c r="M204" s="8">
        <v>7</v>
      </c>
      <c r="N204" s="11">
        <v>0</v>
      </c>
      <c r="O204" s="10">
        <v>31.46</v>
      </c>
      <c r="P204" s="12">
        <f t="shared" si="3"/>
        <v>0.25405798271824276</v>
      </c>
    </row>
    <row r="205" spans="1:16" ht="15" customHeight="1" x14ac:dyDescent="0.25">
      <c r="A205" s="13" t="s">
        <v>571</v>
      </c>
      <c r="B205" s="14">
        <v>44677</v>
      </c>
      <c r="C205" s="14">
        <v>44679</v>
      </c>
      <c r="D205" s="13" t="s">
        <v>572</v>
      </c>
      <c r="E205" s="13" t="s">
        <v>103</v>
      </c>
      <c r="F205" s="13" t="s">
        <v>28</v>
      </c>
      <c r="G205" s="13" t="s">
        <v>58</v>
      </c>
      <c r="H205" s="13" t="s">
        <v>81</v>
      </c>
      <c r="I205" s="13" t="s">
        <v>22</v>
      </c>
      <c r="J205" s="13" t="s">
        <v>76</v>
      </c>
      <c r="K205" s="13" t="s">
        <v>203</v>
      </c>
      <c r="L205" s="15">
        <v>2089.13</v>
      </c>
      <c r="M205" s="13">
        <v>3</v>
      </c>
      <c r="N205" s="16">
        <v>0.2</v>
      </c>
      <c r="O205" s="15">
        <v>749.26</v>
      </c>
      <c r="P205" s="17">
        <f t="shared" si="3"/>
        <v>0.35864690086303863</v>
      </c>
    </row>
    <row r="206" spans="1:16" ht="15" customHeight="1" x14ac:dyDescent="0.25">
      <c r="A206" s="8" t="s">
        <v>573</v>
      </c>
      <c r="B206" s="9">
        <v>44579</v>
      </c>
      <c r="C206" s="9">
        <v>44584</v>
      </c>
      <c r="D206" s="8" t="s">
        <v>574</v>
      </c>
      <c r="E206" s="8" t="s">
        <v>80</v>
      </c>
      <c r="F206" s="8" t="s">
        <v>50</v>
      </c>
      <c r="G206" s="8" t="s">
        <v>20</v>
      </c>
      <c r="H206" s="8" t="s">
        <v>99</v>
      </c>
      <c r="I206" s="8" t="s">
        <v>22</v>
      </c>
      <c r="J206" s="8" t="s">
        <v>45</v>
      </c>
      <c r="K206" s="8" t="s">
        <v>46</v>
      </c>
      <c r="L206" s="10">
        <v>2716.5</v>
      </c>
      <c r="M206" s="8">
        <v>7</v>
      </c>
      <c r="N206" s="11">
        <v>0.2</v>
      </c>
      <c r="O206" s="10">
        <v>934.76</v>
      </c>
      <c r="P206" s="12">
        <f t="shared" si="3"/>
        <v>0.34410454629118348</v>
      </c>
    </row>
    <row r="207" spans="1:16" ht="15" customHeight="1" x14ac:dyDescent="0.25">
      <c r="A207" s="13" t="s">
        <v>575</v>
      </c>
      <c r="B207" s="14">
        <v>44846</v>
      </c>
      <c r="C207" s="14">
        <v>44847</v>
      </c>
      <c r="D207" s="13" t="s">
        <v>576</v>
      </c>
      <c r="E207" s="13" t="s">
        <v>362</v>
      </c>
      <c r="F207" s="13" t="s">
        <v>28</v>
      </c>
      <c r="G207" s="13" t="s">
        <v>43</v>
      </c>
      <c r="H207" s="13" t="s">
        <v>95</v>
      </c>
      <c r="I207" s="13" t="s">
        <v>22</v>
      </c>
      <c r="J207" s="13" t="s">
        <v>23</v>
      </c>
      <c r="K207" s="13" t="s">
        <v>24</v>
      </c>
      <c r="L207" s="15">
        <v>215.4</v>
      </c>
      <c r="M207" s="13">
        <v>6</v>
      </c>
      <c r="N207" s="16">
        <v>0</v>
      </c>
      <c r="O207" s="15">
        <v>80.23</v>
      </c>
      <c r="P207" s="17">
        <f t="shared" si="3"/>
        <v>0.37246982358402975</v>
      </c>
    </row>
    <row r="208" spans="1:16" ht="15" customHeight="1" x14ac:dyDescent="0.25">
      <c r="A208" s="8" t="s">
        <v>577</v>
      </c>
      <c r="B208" s="9">
        <v>44812</v>
      </c>
      <c r="C208" s="9">
        <v>44813</v>
      </c>
      <c r="D208" s="8" t="s">
        <v>578</v>
      </c>
      <c r="E208" s="8" t="s">
        <v>209</v>
      </c>
      <c r="F208" s="8" t="s">
        <v>50</v>
      </c>
      <c r="G208" s="8" t="s">
        <v>58</v>
      </c>
      <c r="H208" s="8" t="s">
        <v>81</v>
      </c>
      <c r="I208" s="8" t="s">
        <v>30</v>
      </c>
      <c r="J208" s="8" t="s">
        <v>114</v>
      </c>
      <c r="K208" s="8" t="s">
        <v>236</v>
      </c>
      <c r="L208" s="10">
        <v>32.520000000000003</v>
      </c>
      <c r="M208" s="8">
        <v>3</v>
      </c>
      <c r="N208" s="11">
        <v>0</v>
      </c>
      <c r="O208" s="10">
        <v>8.93</v>
      </c>
      <c r="P208" s="12">
        <f t="shared" si="3"/>
        <v>0.27460024600245997</v>
      </c>
    </row>
    <row r="209" spans="1:16" ht="15" customHeight="1" x14ac:dyDescent="0.25">
      <c r="A209" s="13" t="s">
        <v>579</v>
      </c>
      <c r="B209" s="14">
        <v>45097</v>
      </c>
      <c r="C209" s="14">
        <v>45102</v>
      </c>
      <c r="D209" s="13" t="s">
        <v>580</v>
      </c>
      <c r="E209" s="13" t="s">
        <v>434</v>
      </c>
      <c r="F209" s="13" t="s">
        <v>50</v>
      </c>
      <c r="G209" s="13" t="s">
        <v>43</v>
      </c>
      <c r="H209" s="13" t="s">
        <v>51</v>
      </c>
      <c r="I209" s="13" t="s">
        <v>22</v>
      </c>
      <c r="J209" s="13" t="s">
        <v>76</v>
      </c>
      <c r="K209" s="13" t="s">
        <v>77</v>
      </c>
      <c r="L209" s="15">
        <v>2035.14</v>
      </c>
      <c r="M209" s="13">
        <v>2</v>
      </c>
      <c r="N209" s="16">
        <v>0</v>
      </c>
      <c r="O209" s="15">
        <v>745.36</v>
      </c>
      <c r="P209" s="17">
        <f t="shared" si="3"/>
        <v>0.36624507404895978</v>
      </c>
    </row>
    <row r="210" spans="1:16" ht="15" customHeight="1" x14ac:dyDescent="0.25">
      <c r="A210" s="8" t="s">
        <v>581</v>
      </c>
      <c r="B210" s="9">
        <v>44831</v>
      </c>
      <c r="C210" s="9">
        <v>44837</v>
      </c>
      <c r="D210" s="8" t="s">
        <v>582</v>
      </c>
      <c r="E210" s="8" t="s">
        <v>368</v>
      </c>
      <c r="F210" s="8" t="s">
        <v>50</v>
      </c>
      <c r="G210" s="8" t="s">
        <v>20</v>
      </c>
      <c r="H210" s="8" t="s">
        <v>167</v>
      </c>
      <c r="I210" s="8" t="s">
        <v>30</v>
      </c>
      <c r="J210" s="8" t="s">
        <v>162</v>
      </c>
      <c r="K210" s="8" t="s">
        <v>163</v>
      </c>
      <c r="L210" s="10">
        <v>544.16</v>
      </c>
      <c r="M210" s="8">
        <v>8</v>
      </c>
      <c r="N210" s="11">
        <v>0</v>
      </c>
      <c r="O210" s="10">
        <v>194.85</v>
      </c>
      <c r="P210" s="12">
        <f t="shared" si="3"/>
        <v>0.35807483093207881</v>
      </c>
    </row>
    <row r="211" spans="1:16" ht="15" customHeight="1" x14ac:dyDescent="0.25">
      <c r="A211" s="13" t="s">
        <v>583</v>
      </c>
      <c r="B211" s="14">
        <v>44795</v>
      </c>
      <c r="C211" s="14">
        <v>44801</v>
      </c>
      <c r="D211" s="13" t="s">
        <v>584</v>
      </c>
      <c r="E211" s="13" t="s">
        <v>259</v>
      </c>
      <c r="F211" s="13" t="s">
        <v>19</v>
      </c>
      <c r="G211" s="13" t="s">
        <v>20</v>
      </c>
      <c r="H211" s="13" t="s">
        <v>99</v>
      </c>
      <c r="I211" s="13" t="s">
        <v>22</v>
      </c>
      <c r="J211" s="13" t="s">
        <v>45</v>
      </c>
      <c r="K211" s="13" t="s">
        <v>171</v>
      </c>
      <c r="L211" s="15">
        <v>2760.3</v>
      </c>
      <c r="M211" s="13">
        <v>6</v>
      </c>
      <c r="N211" s="16">
        <v>0</v>
      </c>
      <c r="O211" s="15">
        <v>1118.6400000000001</v>
      </c>
      <c r="P211" s="17">
        <f t="shared" si="3"/>
        <v>0.40526029779371808</v>
      </c>
    </row>
    <row r="212" spans="1:16" ht="15" customHeight="1" x14ac:dyDescent="0.25">
      <c r="A212" s="8" t="s">
        <v>585</v>
      </c>
      <c r="B212" s="9">
        <v>44791</v>
      </c>
      <c r="C212" s="9">
        <v>44794</v>
      </c>
      <c r="D212" s="8" t="s">
        <v>586</v>
      </c>
      <c r="E212" s="8" t="s">
        <v>98</v>
      </c>
      <c r="F212" s="8" t="s">
        <v>28</v>
      </c>
      <c r="G212" s="8" t="s">
        <v>36</v>
      </c>
      <c r="H212" s="8" t="s">
        <v>174</v>
      </c>
      <c r="I212" s="8" t="s">
        <v>52</v>
      </c>
      <c r="J212" s="8" t="s">
        <v>82</v>
      </c>
      <c r="K212" s="8" t="s">
        <v>83</v>
      </c>
      <c r="L212" s="10">
        <v>1221.3</v>
      </c>
      <c r="M212" s="8">
        <v>10</v>
      </c>
      <c r="N212" s="11">
        <v>0</v>
      </c>
      <c r="O212" s="10">
        <v>494.83</v>
      </c>
      <c r="P212" s="12">
        <f t="shared" si="3"/>
        <v>0.40516662572668466</v>
      </c>
    </row>
    <row r="213" spans="1:16" ht="15" customHeight="1" x14ac:dyDescent="0.25">
      <c r="A213" s="13" t="s">
        <v>587</v>
      </c>
      <c r="B213" s="14">
        <v>44632</v>
      </c>
      <c r="C213" s="14">
        <v>44636</v>
      </c>
      <c r="D213" s="13" t="s">
        <v>588</v>
      </c>
      <c r="E213" s="13" t="s">
        <v>209</v>
      </c>
      <c r="F213" s="13" t="s">
        <v>50</v>
      </c>
      <c r="G213" s="13" t="s">
        <v>43</v>
      </c>
      <c r="H213" s="13" t="s">
        <v>44</v>
      </c>
      <c r="I213" s="13" t="s">
        <v>22</v>
      </c>
      <c r="J213" s="13" t="s">
        <v>38</v>
      </c>
      <c r="K213" s="13" t="s">
        <v>39</v>
      </c>
      <c r="L213" s="15">
        <v>1624.86</v>
      </c>
      <c r="M213" s="13">
        <v>6</v>
      </c>
      <c r="N213" s="16">
        <v>0.1</v>
      </c>
      <c r="O213" s="15">
        <v>430.76</v>
      </c>
      <c r="P213" s="17">
        <f t="shared" si="3"/>
        <v>0.26510591681744888</v>
      </c>
    </row>
    <row r="214" spans="1:16" ht="15" customHeight="1" x14ac:dyDescent="0.25">
      <c r="A214" s="8" t="s">
        <v>589</v>
      </c>
      <c r="B214" s="9">
        <v>45167</v>
      </c>
      <c r="C214" s="9">
        <v>45171</v>
      </c>
      <c r="D214" s="8" t="s">
        <v>590</v>
      </c>
      <c r="E214" s="8" t="s">
        <v>42</v>
      </c>
      <c r="F214" s="8" t="s">
        <v>19</v>
      </c>
      <c r="G214" s="8" t="s">
        <v>36</v>
      </c>
      <c r="H214" s="8" t="s">
        <v>136</v>
      </c>
      <c r="I214" s="8" t="s">
        <v>22</v>
      </c>
      <c r="J214" s="8" t="s">
        <v>38</v>
      </c>
      <c r="K214" s="8" t="s">
        <v>39</v>
      </c>
      <c r="L214" s="10">
        <v>1399.92</v>
      </c>
      <c r="M214" s="8">
        <v>4</v>
      </c>
      <c r="N214" s="11">
        <v>0</v>
      </c>
      <c r="O214" s="10">
        <v>297.14</v>
      </c>
      <c r="P214" s="12">
        <f t="shared" si="3"/>
        <v>0.21225498599919992</v>
      </c>
    </row>
    <row r="215" spans="1:16" ht="15" customHeight="1" x14ac:dyDescent="0.25">
      <c r="A215" s="13" t="s">
        <v>591</v>
      </c>
      <c r="B215" s="14">
        <v>44668</v>
      </c>
      <c r="C215" s="14">
        <v>44670</v>
      </c>
      <c r="D215" s="13" t="s">
        <v>592</v>
      </c>
      <c r="E215" s="13" t="s">
        <v>27</v>
      </c>
      <c r="F215" s="13" t="s">
        <v>50</v>
      </c>
      <c r="G215" s="13" t="s">
        <v>36</v>
      </c>
      <c r="H215" s="13" t="s">
        <v>174</v>
      </c>
      <c r="I215" s="13" t="s">
        <v>22</v>
      </c>
      <c r="J215" s="13" t="s">
        <v>23</v>
      </c>
      <c r="K215" s="13" t="s">
        <v>24</v>
      </c>
      <c r="L215" s="15">
        <v>148.29</v>
      </c>
      <c r="M215" s="13">
        <v>5</v>
      </c>
      <c r="N215" s="16">
        <v>0.05</v>
      </c>
      <c r="O215" s="15">
        <v>33.47</v>
      </c>
      <c r="P215" s="17">
        <f t="shared" si="3"/>
        <v>0.22570638613527547</v>
      </c>
    </row>
    <row r="216" spans="1:16" ht="15" customHeight="1" x14ac:dyDescent="0.25">
      <c r="A216" s="8" t="s">
        <v>593</v>
      </c>
      <c r="B216" s="9">
        <v>45031</v>
      </c>
      <c r="C216" s="9">
        <v>45037</v>
      </c>
      <c r="D216" s="8" t="s">
        <v>594</v>
      </c>
      <c r="E216" s="8" t="s">
        <v>431</v>
      </c>
      <c r="F216" s="8" t="s">
        <v>28</v>
      </c>
      <c r="G216" s="8" t="s">
        <v>20</v>
      </c>
      <c r="H216" s="8" t="s">
        <v>99</v>
      </c>
      <c r="I216" s="8" t="s">
        <v>22</v>
      </c>
      <c r="J216" s="8" t="s">
        <v>38</v>
      </c>
      <c r="K216" s="8" t="s">
        <v>39</v>
      </c>
      <c r="L216" s="10">
        <v>2830.16</v>
      </c>
      <c r="M216" s="8">
        <v>10</v>
      </c>
      <c r="N216" s="11">
        <v>0.2</v>
      </c>
      <c r="O216" s="10">
        <v>804.87</v>
      </c>
      <c r="P216" s="12">
        <f t="shared" si="3"/>
        <v>0.28439028182152248</v>
      </c>
    </row>
    <row r="217" spans="1:16" ht="15" customHeight="1" x14ac:dyDescent="0.25">
      <c r="A217" s="13" t="s">
        <v>595</v>
      </c>
      <c r="B217" s="14">
        <v>44829</v>
      </c>
      <c r="C217" s="14">
        <v>44836</v>
      </c>
      <c r="D217" s="13" t="s">
        <v>596</v>
      </c>
      <c r="E217" s="13" t="s">
        <v>68</v>
      </c>
      <c r="F217" s="13" t="s">
        <v>28</v>
      </c>
      <c r="G217" s="13" t="s">
        <v>43</v>
      </c>
      <c r="H217" s="13" t="s">
        <v>129</v>
      </c>
      <c r="I217" s="13" t="s">
        <v>30</v>
      </c>
      <c r="J217" s="13" t="s">
        <v>162</v>
      </c>
      <c r="K217" s="13" t="s">
        <v>305</v>
      </c>
      <c r="L217" s="15">
        <v>427.84</v>
      </c>
      <c r="M217" s="13">
        <v>8</v>
      </c>
      <c r="N217" s="16">
        <v>0</v>
      </c>
      <c r="O217" s="15">
        <v>91.61</v>
      </c>
      <c r="P217" s="17">
        <f t="shared" si="3"/>
        <v>0.21412210172026927</v>
      </c>
    </row>
    <row r="218" spans="1:16" ht="15" customHeight="1" x14ac:dyDescent="0.25">
      <c r="A218" s="8" t="s">
        <v>597</v>
      </c>
      <c r="B218" s="9">
        <v>44721</v>
      </c>
      <c r="C218" s="9">
        <v>44722</v>
      </c>
      <c r="D218" s="8" t="s">
        <v>598</v>
      </c>
      <c r="E218" s="8" t="s">
        <v>434</v>
      </c>
      <c r="F218" s="8" t="s">
        <v>50</v>
      </c>
      <c r="G218" s="8" t="s">
        <v>36</v>
      </c>
      <c r="H218" s="8" t="s">
        <v>174</v>
      </c>
      <c r="I218" s="8" t="s">
        <v>52</v>
      </c>
      <c r="J218" s="8" t="s">
        <v>153</v>
      </c>
      <c r="K218" s="8" t="s">
        <v>221</v>
      </c>
      <c r="L218" s="10">
        <v>778.14</v>
      </c>
      <c r="M218" s="8">
        <v>9</v>
      </c>
      <c r="N218" s="11">
        <v>0.05</v>
      </c>
      <c r="O218" s="10">
        <v>262.25</v>
      </c>
      <c r="P218" s="12">
        <f t="shared" si="3"/>
        <v>0.33702161564756983</v>
      </c>
    </row>
    <row r="219" spans="1:16" ht="15" customHeight="1" x14ac:dyDescent="0.25">
      <c r="A219" s="13" t="s">
        <v>599</v>
      </c>
      <c r="B219" s="14">
        <v>44654</v>
      </c>
      <c r="C219" s="14">
        <v>44656</v>
      </c>
      <c r="D219" s="13" t="s">
        <v>600</v>
      </c>
      <c r="E219" s="13" t="s">
        <v>128</v>
      </c>
      <c r="F219" s="13" t="s">
        <v>19</v>
      </c>
      <c r="G219" s="13" t="s">
        <v>43</v>
      </c>
      <c r="H219" s="13" t="s">
        <v>95</v>
      </c>
      <c r="I219" s="13" t="s">
        <v>52</v>
      </c>
      <c r="J219" s="13" t="s">
        <v>53</v>
      </c>
      <c r="K219" s="13" t="s">
        <v>278</v>
      </c>
      <c r="L219" s="15">
        <v>1028.6400000000001</v>
      </c>
      <c r="M219" s="13">
        <v>4</v>
      </c>
      <c r="N219" s="16">
        <v>0.2</v>
      </c>
      <c r="O219" s="15">
        <v>330.85</v>
      </c>
      <c r="P219" s="17">
        <f t="shared" si="3"/>
        <v>0.32163827967024422</v>
      </c>
    </row>
    <row r="220" spans="1:16" ht="15" customHeight="1" x14ac:dyDescent="0.25">
      <c r="A220" s="8" t="s">
        <v>601</v>
      </c>
      <c r="B220" s="9">
        <v>44593</v>
      </c>
      <c r="C220" s="9">
        <v>44597</v>
      </c>
      <c r="D220" s="8" t="s">
        <v>602</v>
      </c>
      <c r="E220" s="8" t="s">
        <v>239</v>
      </c>
      <c r="F220" s="8" t="s">
        <v>19</v>
      </c>
      <c r="G220" s="8" t="s">
        <v>58</v>
      </c>
      <c r="H220" s="8" t="s">
        <v>87</v>
      </c>
      <c r="I220" s="8" t="s">
        <v>52</v>
      </c>
      <c r="J220" s="8" t="s">
        <v>264</v>
      </c>
      <c r="K220" s="8" t="s">
        <v>281</v>
      </c>
      <c r="L220" s="10">
        <v>292.54000000000002</v>
      </c>
      <c r="M220" s="8">
        <v>2</v>
      </c>
      <c r="N220" s="11">
        <v>0.05</v>
      </c>
      <c r="O220" s="10">
        <v>122.08</v>
      </c>
      <c r="P220" s="12">
        <f t="shared" si="3"/>
        <v>0.41731045327134747</v>
      </c>
    </row>
    <row r="221" spans="1:16" ht="15" customHeight="1" x14ac:dyDescent="0.25">
      <c r="A221" s="13" t="s">
        <v>603</v>
      </c>
      <c r="B221" s="14">
        <v>45158</v>
      </c>
      <c r="C221" s="14">
        <v>45163</v>
      </c>
      <c r="D221" s="13" t="s">
        <v>604</v>
      </c>
      <c r="E221" s="13" t="s">
        <v>365</v>
      </c>
      <c r="F221" s="13" t="s">
        <v>19</v>
      </c>
      <c r="G221" s="13" t="s">
        <v>43</v>
      </c>
      <c r="H221" s="13" t="s">
        <v>95</v>
      </c>
      <c r="I221" s="13" t="s">
        <v>22</v>
      </c>
      <c r="J221" s="13" t="s">
        <v>23</v>
      </c>
      <c r="K221" s="13" t="s">
        <v>24</v>
      </c>
      <c r="L221" s="15">
        <v>340</v>
      </c>
      <c r="M221" s="13">
        <v>8</v>
      </c>
      <c r="N221" s="16">
        <v>0</v>
      </c>
      <c r="O221" s="15">
        <v>76.069999999999993</v>
      </c>
      <c r="P221" s="17">
        <f t="shared" si="3"/>
        <v>0.22373529411764703</v>
      </c>
    </row>
    <row r="222" spans="1:16" ht="15" customHeight="1" x14ac:dyDescent="0.25">
      <c r="A222" s="8" t="s">
        <v>605</v>
      </c>
      <c r="B222" s="9">
        <v>45034</v>
      </c>
      <c r="C222" s="9">
        <v>45035</v>
      </c>
      <c r="D222" s="8" t="s">
        <v>606</v>
      </c>
      <c r="E222" s="8" t="s">
        <v>343</v>
      </c>
      <c r="F222" s="8" t="s">
        <v>28</v>
      </c>
      <c r="G222" s="8" t="s">
        <v>36</v>
      </c>
      <c r="H222" s="8" t="s">
        <v>174</v>
      </c>
      <c r="I222" s="8" t="s">
        <v>52</v>
      </c>
      <c r="J222" s="8" t="s">
        <v>153</v>
      </c>
      <c r="K222" s="8" t="s">
        <v>221</v>
      </c>
      <c r="L222" s="10">
        <v>729.19</v>
      </c>
      <c r="M222" s="8">
        <v>7</v>
      </c>
      <c r="N222" s="11">
        <v>0</v>
      </c>
      <c r="O222" s="10">
        <v>263.61</v>
      </c>
      <c r="P222" s="12">
        <f t="shared" si="3"/>
        <v>0.36151071737132984</v>
      </c>
    </row>
    <row r="223" spans="1:16" ht="15" customHeight="1" x14ac:dyDescent="0.25">
      <c r="A223" s="13" t="s">
        <v>607</v>
      </c>
      <c r="B223" s="14">
        <v>45018</v>
      </c>
      <c r="C223" s="14">
        <v>45020</v>
      </c>
      <c r="D223" s="13" t="s">
        <v>608</v>
      </c>
      <c r="E223" s="13" t="s">
        <v>249</v>
      </c>
      <c r="F223" s="13" t="s">
        <v>28</v>
      </c>
      <c r="G223" s="13" t="s">
        <v>20</v>
      </c>
      <c r="H223" s="13" t="s">
        <v>29</v>
      </c>
      <c r="I223" s="13" t="s">
        <v>52</v>
      </c>
      <c r="J223" s="13" t="s">
        <v>153</v>
      </c>
      <c r="K223" s="13" t="s">
        <v>154</v>
      </c>
      <c r="L223" s="15">
        <v>863.1</v>
      </c>
      <c r="M223" s="13">
        <v>9</v>
      </c>
      <c r="N223" s="16">
        <v>0</v>
      </c>
      <c r="O223" s="15">
        <v>328.03</v>
      </c>
      <c r="P223" s="17">
        <f t="shared" si="3"/>
        <v>0.38006024794345961</v>
      </c>
    </row>
    <row r="224" spans="1:16" ht="15" customHeight="1" x14ac:dyDescent="0.25">
      <c r="A224" s="8" t="s">
        <v>609</v>
      </c>
      <c r="B224" s="9">
        <v>45220</v>
      </c>
      <c r="C224" s="9">
        <v>45227</v>
      </c>
      <c r="D224" s="8" t="s">
        <v>610</v>
      </c>
      <c r="E224" s="8" t="s">
        <v>57</v>
      </c>
      <c r="F224" s="8" t="s">
        <v>50</v>
      </c>
      <c r="G224" s="8" t="s">
        <v>36</v>
      </c>
      <c r="H224" s="8" t="s">
        <v>232</v>
      </c>
      <c r="I224" s="8" t="s">
        <v>30</v>
      </c>
      <c r="J224" s="8" t="s">
        <v>162</v>
      </c>
      <c r="K224" s="8" t="s">
        <v>305</v>
      </c>
      <c r="L224" s="10">
        <v>505.59</v>
      </c>
      <c r="M224" s="8">
        <v>9</v>
      </c>
      <c r="N224" s="11">
        <v>0.15</v>
      </c>
      <c r="O224" s="10">
        <v>112.16</v>
      </c>
      <c r="P224" s="12">
        <f t="shared" si="3"/>
        <v>0.2218398306928539</v>
      </c>
    </row>
    <row r="225" spans="1:16" ht="15" customHeight="1" x14ac:dyDescent="0.25">
      <c r="A225" s="13" t="s">
        <v>611</v>
      </c>
      <c r="B225" s="14">
        <v>44838</v>
      </c>
      <c r="C225" s="14">
        <v>44840</v>
      </c>
      <c r="D225" s="13" t="s">
        <v>612</v>
      </c>
      <c r="E225" s="13" t="s">
        <v>418</v>
      </c>
      <c r="F225" s="13" t="s">
        <v>28</v>
      </c>
      <c r="G225" s="13" t="s">
        <v>20</v>
      </c>
      <c r="H225" s="13" t="s">
        <v>21</v>
      </c>
      <c r="I225" s="13" t="s">
        <v>22</v>
      </c>
      <c r="J225" s="13" t="s">
        <v>45</v>
      </c>
      <c r="K225" s="13" t="s">
        <v>171</v>
      </c>
      <c r="L225" s="15">
        <v>382.38</v>
      </c>
      <c r="M225" s="13">
        <v>1</v>
      </c>
      <c r="N225" s="16">
        <v>0.3</v>
      </c>
      <c r="O225" s="15">
        <v>121.46</v>
      </c>
      <c r="P225" s="17">
        <f t="shared" si="3"/>
        <v>0.31764213609498404</v>
      </c>
    </row>
    <row r="226" spans="1:16" ht="15" customHeight="1" x14ac:dyDescent="0.25">
      <c r="A226" s="8" t="s">
        <v>613</v>
      </c>
      <c r="B226" s="9">
        <v>44815</v>
      </c>
      <c r="C226" s="9">
        <v>44821</v>
      </c>
      <c r="D226" s="8" t="s">
        <v>614</v>
      </c>
      <c r="E226" s="8" t="s">
        <v>212</v>
      </c>
      <c r="F226" s="8" t="s">
        <v>28</v>
      </c>
      <c r="G226" s="8" t="s">
        <v>36</v>
      </c>
      <c r="H226" s="8" t="s">
        <v>37</v>
      </c>
      <c r="I226" s="8" t="s">
        <v>30</v>
      </c>
      <c r="J226" s="8" t="s">
        <v>114</v>
      </c>
      <c r="K226" s="8" t="s">
        <v>115</v>
      </c>
      <c r="L226" s="10">
        <v>118.16</v>
      </c>
      <c r="M226" s="8">
        <v>10</v>
      </c>
      <c r="N226" s="11">
        <v>0.2</v>
      </c>
      <c r="O226" s="10">
        <v>42.69</v>
      </c>
      <c r="P226" s="12">
        <f t="shared" si="3"/>
        <v>0.36128977657413675</v>
      </c>
    </row>
    <row r="227" spans="1:16" ht="15" customHeight="1" x14ac:dyDescent="0.25">
      <c r="A227" s="13" t="s">
        <v>615</v>
      </c>
      <c r="B227" s="14">
        <v>45168</v>
      </c>
      <c r="C227" s="14">
        <v>45171</v>
      </c>
      <c r="D227" s="13" t="s">
        <v>616</v>
      </c>
      <c r="E227" s="13" t="s">
        <v>617</v>
      </c>
      <c r="F227" s="13" t="s">
        <v>28</v>
      </c>
      <c r="G227" s="13" t="s">
        <v>43</v>
      </c>
      <c r="H227" s="13" t="s">
        <v>95</v>
      </c>
      <c r="I227" s="13" t="s">
        <v>30</v>
      </c>
      <c r="J227" s="13" t="s">
        <v>162</v>
      </c>
      <c r="K227" s="13" t="s">
        <v>284</v>
      </c>
      <c r="L227" s="15">
        <v>477.56</v>
      </c>
      <c r="M227" s="13">
        <v>10</v>
      </c>
      <c r="N227" s="16">
        <v>0.05</v>
      </c>
      <c r="O227" s="15">
        <v>115.01</v>
      </c>
      <c r="P227" s="17">
        <f t="shared" si="3"/>
        <v>0.24082837758606249</v>
      </c>
    </row>
    <row r="228" spans="1:16" ht="15" customHeight="1" x14ac:dyDescent="0.25">
      <c r="A228" s="8" t="s">
        <v>618</v>
      </c>
      <c r="B228" s="9">
        <v>44741</v>
      </c>
      <c r="C228" s="9">
        <v>44745</v>
      </c>
      <c r="D228" s="8" t="s">
        <v>619</v>
      </c>
      <c r="E228" s="8" t="s">
        <v>402</v>
      </c>
      <c r="F228" s="8" t="s">
        <v>19</v>
      </c>
      <c r="G228" s="8" t="s">
        <v>20</v>
      </c>
      <c r="H228" s="8" t="s">
        <v>99</v>
      </c>
      <c r="I228" s="8" t="s">
        <v>22</v>
      </c>
      <c r="J228" s="8" t="s">
        <v>23</v>
      </c>
      <c r="K228" s="8" t="s">
        <v>143</v>
      </c>
      <c r="L228" s="10">
        <v>285.19</v>
      </c>
      <c r="M228" s="8">
        <v>9</v>
      </c>
      <c r="N228" s="11">
        <v>0.15</v>
      </c>
      <c r="O228" s="10">
        <v>62.89</v>
      </c>
      <c r="P228" s="12">
        <f t="shared" si="3"/>
        <v>0.22051965356429049</v>
      </c>
    </row>
    <row r="229" spans="1:16" ht="15" customHeight="1" x14ac:dyDescent="0.25">
      <c r="A229" s="13" t="s">
        <v>620</v>
      </c>
      <c r="B229" s="14">
        <v>44743</v>
      </c>
      <c r="C229" s="14">
        <v>44750</v>
      </c>
      <c r="D229" s="13" t="s">
        <v>621</v>
      </c>
      <c r="E229" s="13" t="s">
        <v>68</v>
      </c>
      <c r="F229" s="13" t="s">
        <v>19</v>
      </c>
      <c r="G229" s="13" t="s">
        <v>43</v>
      </c>
      <c r="H229" s="13" t="s">
        <v>95</v>
      </c>
      <c r="I229" s="13" t="s">
        <v>22</v>
      </c>
      <c r="J229" s="13" t="s">
        <v>23</v>
      </c>
      <c r="K229" s="13" t="s">
        <v>143</v>
      </c>
      <c r="L229" s="15">
        <v>389.79</v>
      </c>
      <c r="M229" s="13">
        <v>9</v>
      </c>
      <c r="N229" s="16">
        <v>0</v>
      </c>
      <c r="O229" s="15">
        <v>139</v>
      </c>
      <c r="P229" s="17">
        <f t="shared" si="3"/>
        <v>0.35660227301880498</v>
      </c>
    </row>
    <row r="230" spans="1:16" ht="15" customHeight="1" x14ac:dyDescent="0.25">
      <c r="A230" s="8" t="s">
        <v>622</v>
      </c>
      <c r="B230" s="9">
        <v>44906</v>
      </c>
      <c r="C230" s="9">
        <v>44909</v>
      </c>
      <c r="D230" s="8" t="s">
        <v>623</v>
      </c>
      <c r="E230" s="8" t="s">
        <v>229</v>
      </c>
      <c r="F230" s="8" t="s">
        <v>19</v>
      </c>
      <c r="G230" s="8" t="s">
        <v>43</v>
      </c>
      <c r="H230" s="8" t="s">
        <v>51</v>
      </c>
      <c r="I230" s="8" t="s">
        <v>30</v>
      </c>
      <c r="J230" s="8" t="s">
        <v>31</v>
      </c>
      <c r="K230" s="8" t="s">
        <v>240</v>
      </c>
      <c r="L230" s="10">
        <v>868</v>
      </c>
      <c r="M230" s="8">
        <v>8</v>
      </c>
      <c r="N230" s="11">
        <v>0</v>
      </c>
      <c r="O230" s="10">
        <v>237.14</v>
      </c>
      <c r="P230" s="12">
        <f t="shared" si="3"/>
        <v>0.2732027649769585</v>
      </c>
    </row>
    <row r="231" spans="1:16" ht="15" customHeight="1" x14ac:dyDescent="0.25">
      <c r="A231" s="13" t="s">
        <v>624</v>
      </c>
      <c r="B231" s="14">
        <v>44949</v>
      </c>
      <c r="C231" s="14">
        <v>44952</v>
      </c>
      <c r="D231" s="13" t="s">
        <v>625</v>
      </c>
      <c r="E231" s="13" t="s">
        <v>447</v>
      </c>
      <c r="F231" s="13" t="s">
        <v>19</v>
      </c>
      <c r="G231" s="13" t="s">
        <v>43</v>
      </c>
      <c r="H231" s="13" t="s">
        <v>51</v>
      </c>
      <c r="I231" s="13" t="s">
        <v>30</v>
      </c>
      <c r="J231" s="13" t="s">
        <v>114</v>
      </c>
      <c r="K231" s="13" t="s">
        <v>350</v>
      </c>
      <c r="L231" s="15">
        <v>123.1</v>
      </c>
      <c r="M231" s="13">
        <v>10</v>
      </c>
      <c r="N231" s="16">
        <v>0</v>
      </c>
      <c r="O231" s="15">
        <v>49.79</v>
      </c>
      <c r="P231" s="17">
        <f t="shared" si="3"/>
        <v>0.40446791226645007</v>
      </c>
    </row>
    <row r="232" spans="1:16" ht="15" customHeight="1" x14ac:dyDescent="0.25">
      <c r="A232" s="8" t="s">
        <v>626</v>
      </c>
      <c r="B232" s="9">
        <v>45216</v>
      </c>
      <c r="C232" s="9">
        <v>45221</v>
      </c>
      <c r="D232" s="8" t="s">
        <v>627</v>
      </c>
      <c r="E232" s="8" t="s">
        <v>86</v>
      </c>
      <c r="F232" s="8" t="s">
        <v>19</v>
      </c>
      <c r="G232" s="8" t="s">
        <v>20</v>
      </c>
      <c r="H232" s="8" t="s">
        <v>167</v>
      </c>
      <c r="I232" s="8" t="s">
        <v>52</v>
      </c>
      <c r="J232" s="8" t="s">
        <v>264</v>
      </c>
      <c r="K232" s="8" t="s">
        <v>281</v>
      </c>
      <c r="L232" s="10">
        <v>1395.42</v>
      </c>
      <c r="M232" s="8">
        <v>6</v>
      </c>
      <c r="N232" s="11">
        <v>0</v>
      </c>
      <c r="O232" s="10">
        <v>406</v>
      </c>
      <c r="P232" s="12">
        <f t="shared" si="3"/>
        <v>0.29095182812343234</v>
      </c>
    </row>
    <row r="233" spans="1:16" ht="15" customHeight="1" x14ac:dyDescent="0.25">
      <c r="A233" s="13" t="s">
        <v>628</v>
      </c>
      <c r="B233" s="14">
        <v>44573</v>
      </c>
      <c r="C233" s="14">
        <v>44576</v>
      </c>
      <c r="D233" s="13" t="s">
        <v>629</v>
      </c>
      <c r="E233" s="13" t="s">
        <v>359</v>
      </c>
      <c r="F233" s="13" t="s">
        <v>28</v>
      </c>
      <c r="G233" s="13" t="s">
        <v>36</v>
      </c>
      <c r="H233" s="13" t="s">
        <v>136</v>
      </c>
      <c r="I233" s="13" t="s">
        <v>22</v>
      </c>
      <c r="J233" s="13" t="s">
        <v>76</v>
      </c>
      <c r="K233" s="13" t="s">
        <v>203</v>
      </c>
      <c r="L233" s="15">
        <v>1996.12</v>
      </c>
      <c r="M233" s="13">
        <v>2</v>
      </c>
      <c r="N233" s="16">
        <v>0</v>
      </c>
      <c r="O233" s="15">
        <v>705.66</v>
      </c>
      <c r="P233" s="17">
        <f t="shared" si="3"/>
        <v>0.35351582069214277</v>
      </c>
    </row>
    <row r="234" spans="1:16" ht="15" customHeight="1" x14ac:dyDescent="0.25">
      <c r="A234" s="8" t="s">
        <v>630</v>
      </c>
      <c r="B234" s="9">
        <v>45066</v>
      </c>
      <c r="C234" s="9">
        <v>45070</v>
      </c>
      <c r="D234" s="8" t="s">
        <v>631</v>
      </c>
      <c r="E234" s="8" t="s">
        <v>434</v>
      </c>
      <c r="F234" s="8" t="s">
        <v>19</v>
      </c>
      <c r="G234" s="8" t="s">
        <v>43</v>
      </c>
      <c r="H234" s="8" t="s">
        <v>129</v>
      </c>
      <c r="I234" s="8" t="s">
        <v>52</v>
      </c>
      <c r="J234" s="8" t="s">
        <v>53</v>
      </c>
      <c r="K234" s="8" t="s">
        <v>278</v>
      </c>
      <c r="L234" s="10">
        <v>1766.32</v>
      </c>
      <c r="M234" s="8">
        <v>8</v>
      </c>
      <c r="N234" s="11">
        <v>0</v>
      </c>
      <c r="O234" s="10">
        <v>664.62</v>
      </c>
      <c r="P234" s="12">
        <f t="shared" si="3"/>
        <v>0.37627383486570953</v>
      </c>
    </row>
    <row r="235" spans="1:16" ht="15" customHeight="1" x14ac:dyDescent="0.25">
      <c r="A235" s="13" t="s">
        <v>632</v>
      </c>
      <c r="B235" s="14">
        <v>44637</v>
      </c>
      <c r="C235" s="14">
        <v>44640</v>
      </c>
      <c r="D235" s="13" t="s">
        <v>633</v>
      </c>
      <c r="E235" s="13" t="s">
        <v>359</v>
      </c>
      <c r="F235" s="13" t="s">
        <v>19</v>
      </c>
      <c r="G235" s="13" t="s">
        <v>36</v>
      </c>
      <c r="H235" s="13" t="s">
        <v>174</v>
      </c>
      <c r="I235" s="13" t="s">
        <v>30</v>
      </c>
      <c r="J235" s="13" t="s">
        <v>114</v>
      </c>
      <c r="K235" s="13" t="s">
        <v>350</v>
      </c>
      <c r="L235" s="15">
        <v>16.829999999999998</v>
      </c>
      <c r="M235" s="13">
        <v>2</v>
      </c>
      <c r="N235" s="16">
        <v>0.3</v>
      </c>
      <c r="O235" s="15">
        <v>4.6100000000000003</v>
      </c>
      <c r="P235" s="17">
        <f t="shared" si="3"/>
        <v>0.27391562685680337</v>
      </c>
    </row>
    <row r="236" spans="1:16" ht="15" customHeight="1" x14ac:dyDescent="0.25">
      <c r="A236" s="8" t="s">
        <v>634</v>
      </c>
      <c r="B236" s="9">
        <v>44722</v>
      </c>
      <c r="C236" s="9">
        <v>44723</v>
      </c>
      <c r="D236" s="8" t="s">
        <v>635</v>
      </c>
      <c r="E236" s="8" t="s">
        <v>90</v>
      </c>
      <c r="F236" s="8" t="s">
        <v>19</v>
      </c>
      <c r="G236" s="8" t="s">
        <v>20</v>
      </c>
      <c r="H236" s="8" t="s">
        <v>21</v>
      </c>
      <c r="I236" s="8" t="s">
        <v>22</v>
      </c>
      <c r="J236" s="8" t="s">
        <v>38</v>
      </c>
      <c r="K236" s="8" t="s">
        <v>158</v>
      </c>
      <c r="L236" s="10">
        <v>3045.36</v>
      </c>
      <c r="M236" s="8">
        <v>9</v>
      </c>
      <c r="N236" s="11">
        <v>0.1</v>
      </c>
      <c r="O236" s="10">
        <v>867.47</v>
      </c>
      <c r="P236" s="12">
        <f t="shared" si="3"/>
        <v>0.28484973861875112</v>
      </c>
    </row>
    <row r="237" spans="1:16" ht="15" customHeight="1" x14ac:dyDescent="0.25">
      <c r="A237" s="13" t="s">
        <v>636</v>
      </c>
      <c r="B237" s="14">
        <v>44612</v>
      </c>
      <c r="C237" s="14">
        <v>44616</v>
      </c>
      <c r="D237" s="13" t="s">
        <v>637</v>
      </c>
      <c r="E237" s="13" t="s">
        <v>229</v>
      </c>
      <c r="F237" s="13" t="s">
        <v>19</v>
      </c>
      <c r="G237" s="13" t="s">
        <v>58</v>
      </c>
      <c r="H237" s="13" t="s">
        <v>87</v>
      </c>
      <c r="I237" s="13" t="s">
        <v>52</v>
      </c>
      <c r="J237" s="13" t="s">
        <v>264</v>
      </c>
      <c r="K237" s="13" t="s">
        <v>265</v>
      </c>
      <c r="L237" s="15">
        <v>247.6</v>
      </c>
      <c r="M237" s="13">
        <v>2</v>
      </c>
      <c r="N237" s="16">
        <v>0.3</v>
      </c>
      <c r="O237" s="15">
        <v>99.06</v>
      </c>
      <c r="P237" s="17">
        <f t="shared" si="3"/>
        <v>0.40008077544426496</v>
      </c>
    </row>
    <row r="238" spans="1:16" ht="15" customHeight="1" x14ac:dyDescent="0.25">
      <c r="A238" s="8" t="s">
        <v>638</v>
      </c>
      <c r="B238" s="9">
        <v>45215</v>
      </c>
      <c r="C238" s="9">
        <v>45218</v>
      </c>
      <c r="D238" s="8" t="s">
        <v>639</v>
      </c>
      <c r="E238" s="8" t="s">
        <v>184</v>
      </c>
      <c r="F238" s="8" t="s">
        <v>19</v>
      </c>
      <c r="G238" s="8" t="s">
        <v>20</v>
      </c>
      <c r="H238" s="8" t="s">
        <v>167</v>
      </c>
      <c r="I238" s="8" t="s">
        <v>52</v>
      </c>
      <c r="J238" s="8" t="s">
        <v>153</v>
      </c>
      <c r="K238" s="8" t="s">
        <v>154</v>
      </c>
      <c r="L238" s="10">
        <v>811.73</v>
      </c>
      <c r="M238" s="8">
        <v>8</v>
      </c>
      <c r="N238" s="11">
        <v>0.1</v>
      </c>
      <c r="O238" s="10">
        <v>346.78</v>
      </c>
      <c r="P238" s="12">
        <f t="shared" si="3"/>
        <v>0.42721101844209275</v>
      </c>
    </row>
    <row r="239" spans="1:16" ht="15" customHeight="1" x14ac:dyDescent="0.25">
      <c r="A239" s="13" t="s">
        <v>640</v>
      </c>
      <c r="B239" s="14">
        <v>44941</v>
      </c>
      <c r="C239" s="14">
        <v>44945</v>
      </c>
      <c r="D239" s="13" t="s">
        <v>641</v>
      </c>
      <c r="E239" s="13" t="s">
        <v>368</v>
      </c>
      <c r="F239" s="13" t="s">
        <v>50</v>
      </c>
      <c r="G239" s="13" t="s">
        <v>43</v>
      </c>
      <c r="H239" s="13" t="s">
        <v>51</v>
      </c>
      <c r="I239" s="13" t="s">
        <v>22</v>
      </c>
      <c r="J239" s="13" t="s">
        <v>76</v>
      </c>
      <c r="K239" s="13" t="s">
        <v>203</v>
      </c>
      <c r="L239" s="15">
        <v>5927.4</v>
      </c>
      <c r="M239" s="13">
        <v>8</v>
      </c>
      <c r="N239" s="16">
        <v>0.1</v>
      </c>
      <c r="O239" s="15">
        <v>1831.2</v>
      </c>
      <c r="P239" s="17">
        <f t="shared" si="3"/>
        <v>0.30893815163478089</v>
      </c>
    </row>
    <row r="240" spans="1:16" ht="15" customHeight="1" x14ac:dyDescent="0.25">
      <c r="A240" s="8" t="s">
        <v>642</v>
      </c>
      <c r="B240" s="9">
        <v>45246</v>
      </c>
      <c r="C240" s="9">
        <v>45249</v>
      </c>
      <c r="D240" s="8" t="s">
        <v>643</v>
      </c>
      <c r="E240" s="8" t="s">
        <v>121</v>
      </c>
      <c r="F240" s="8" t="s">
        <v>28</v>
      </c>
      <c r="G240" s="8" t="s">
        <v>58</v>
      </c>
      <c r="H240" s="8" t="s">
        <v>87</v>
      </c>
      <c r="I240" s="8" t="s">
        <v>22</v>
      </c>
      <c r="J240" s="8" t="s">
        <v>38</v>
      </c>
      <c r="K240" s="8" t="s">
        <v>158</v>
      </c>
      <c r="L240" s="10">
        <v>2014.14</v>
      </c>
      <c r="M240" s="8">
        <v>7</v>
      </c>
      <c r="N240" s="11">
        <v>0.3</v>
      </c>
      <c r="O240" s="10">
        <v>617.98</v>
      </c>
      <c r="P240" s="12">
        <f t="shared" si="3"/>
        <v>0.30682077710586153</v>
      </c>
    </row>
    <row r="241" spans="1:16" ht="15" customHeight="1" x14ac:dyDescent="0.25">
      <c r="A241" s="13" t="s">
        <v>644</v>
      </c>
      <c r="B241" s="14">
        <v>44642</v>
      </c>
      <c r="C241" s="14">
        <v>44646</v>
      </c>
      <c r="D241" s="13" t="s">
        <v>645</v>
      </c>
      <c r="E241" s="13" t="s">
        <v>249</v>
      </c>
      <c r="F241" s="13" t="s">
        <v>19</v>
      </c>
      <c r="G241" s="13" t="s">
        <v>20</v>
      </c>
      <c r="H241" s="13" t="s">
        <v>29</v>
      </c>
      <c r="I241" s="13" t="s">
        <v>52</v>
      </c>
      <c r="J241" s="13" t="s">
        <v>53</v>
      </c>
      <c r="K241" s="13" t="s">
        <v>278</v>
      </c>
      <c r="L241" s="15">
        <v>1213.8</v>
      </c>
      <c r="M241" s="13">
        <v>4</v>
      </c>
      <c r="N241" s="16">
        <v>0</v>
      </c>
      <c r="O241" s="15">
        <v>533.26</v>
      </c>
      <c r="P241" s="17">
        <f t="shared" si="3"/>
        <v>0.43933102652825839</v>
      </c>
    </row>
    <row r="242" spans="1:16" ht="15" customHeight="1" x14ac:dyDescent="0.25">
      <c r="A242" s="8" t="s">
        <v>646</v>
      </c>
      <c r="B242" s="9">
        <v>45204</v>
      </c>
      <c r="C242" s="9">
        <v>45206</v>
      </c>
      <c r="D242" s="8" t="s">
        <v>647</v>
      </c>
      <c r="E242" s="8" t="s">
        <v>180</v>
      </c>
      <c r="F242" s="8" t="s">
        <v>28</v>
      </c>
      <c r="G242" s="8" t="s">
        <v>43</v>
      </c>
      <c r="H242" s="8" t="s">
        <v>44</v>
      </c>
      <c r="I242" s="8" t="s">
        <v>22</v>
      </c>
      <c r="J242" s="8" t="s">
        <v>45</v>
      </c>
      <c r="K242" s="8" t="s">
        <v>171</v>
      </c>
      <c r="L242" s="10">
        <v>3541.64</v>
      </c>
      <c r="M242" s="8">
        <v>9</v>
      </c>
      <c r="N242" s="11">
        <v>0.15</v>
      </c>
      <c r="O242" s="10">
        <v>835.27</v>
      </c>
      <c r="P242" s="12">
        <f t="shared" si="3"/>
        <v>0.23584271693339809</v>
      </c>
    </row>
    <row r="243" spans="1:16" ht="15" customHeight="1" x14ac:dyDescent="0.25">
      <c r="A243" s="13" t="s">
        <v>648</v>
      </c>
      <c r="B243" s="14">
        <v>45279</v>
      </c>
      <c r="C243" s="14">
        <v>45284</v>
      </c>
      <c r="D243" s="13" t="s">
        <v>41</v>
      </c>
      <c r="E243" s="13" t="s">
        <v>132</v>
      </c>
      <c r="F243" s="13" t="s">
        <v>50</v>
      </c>
      <c r="G243" s="13" t="s">
        <v>58</v>
      </c>
      <c r="H243" s="13" t="s">
        <v>81</v>
      </c>
      <c r="I243" s="13" t="s">
        <v>22</v>
      </c>
      <c r="J243" s="13" t="s">
        <v>23</v>
      </c>
      <c r="K243" s="13" t="s">
        <v>24</v>
      </c>
      <c r="L243" s="15">
        <v>389.3</v>
      </c>
      <c r="M243" s="13">
        <v>10</v>
      </c>
      <c r="N243" s="16">
        <v>0</v>
      </c>
      <c r="O243" s="15">
        <v>85.17</v>
      </c>
      <c r="P243" s="17">
        <f t="shared" si="3"/>
        <v>0.2187772925764192</v>
      </c>
    </row>
    <row r="244" spans="1:16" ht="15" customHeight="1" x14ac:dyDescent="0.25">
      <c r="A244" s="8" t="s">
        <v>649</v>
      </c>
      <c r="B244" s="9">
        <v>44982</v>
      </c>
      <c r="C244" s="9">
        <v>44985</v>
      </c>
      <c r="D244" s="8" t="s">
        <v>650</v>
      </c>
      <c r="E244" s="8" t="s">
        <v>98</v>
      </c>
      <c r="F244" s="8" t="s">
        <v>28</v>
      </c>
      <c r="G244" s="8" t="s">
        <v>58</v>
      </c>
      <c r="H244" s="8" t="s">
        <v>181</v>
      </c>
      <c r="I244" s="8" t="s">
        <v>30</v>
      </c>
      <c r="J244" s="8" t="s">
        <v>31</v>
      </c>
      <c r="K244" s="8" t="s">
        <v>32</v>
      </c>
      <c r="L244" s="10">
        <v>277.56</v>
      </c>
      <c r="M244" s="8">
        <v>3</v>
      </c>
      <c r="N244" s="11">
        <v>0</v>
      </c>
      <c r="O244" s="10">
        <v>82</v>
      </c>
      <c r="P244" s="12">
        <f t="shared" si="3"/>
        <v>0.29543161838881682</v>
      </c>
    </row>
    <row r="245" spans="1:16" ht="15" customHeight="1" x14ac:dyDescent="0.25">
      <c r="A245" s="13" t="s">
        <v>651</v>
      </c>
      <c r="B245" s="14">
        <v>44901</v>
      </c>
      <c r="C245" s="14">
        <v>44907</v>
      </c>
      <c r="D245" s="13" t="s">
        <v>652</v>
      </c>
      <c r="E245" s="13" t="s">
        <v>193</v>
      </c>
      <c r="F245" s="13" t="s">
        <v>28</v>
      </c>
      <c r="G245" s="13" t="s">
        <v>36</v>
      </c>
      <c r="H245" s="13" t="s">
        <v>232</v>
      </c>
      <c r="I245" s="13" t="s">
        <v>52</v>
      </c>
      <c r="J245" s="13" t="s">
        <v>82</v>
      </c>
      <c r="K245" s="13" t="s">
        <v>100</v>
      </c>
      <c r="L245" s="15">
        <v>108.22</v>
      </c>
      <c r="M245" s="13">
        <v>1</v>
      </c>
      <c r="N245" s="16">
        <v>0.1</v>
      </c>
      <c r="O245" s="15">
        <v>40.29</v>
      </c>
      <c r="P245" s="17">
        <f t="shared" si="3"/>
        <v>0.37229717242653854</v>
      </c>
    </row>
    <row r="246" spans="1:16" ht="15" customHeight="1" x14ac:dyDescent="0.25">
      <c r="A246" s="8" t="s">
        <v>653</v>
      </c>
      <c r="B246" s="9">
        <v>44699</v>
      </c>
      <c r="C246" s="9">
        <v>44702</v>
      </c>
      <c r="D246" s="8" t="s">
        <v>654</v>
      </c>
      <c r="E246" s="8" t="s">
        <v>209</v>
      </c>
      <c r="F246" s="8" t="s">
        <v>50</v>
      </c>
      <c r="G246" s="8" t="s">
        <v>58</v>
      </c>
      <c r="H246" s="8" t="s">
        <v>59</v>
      </c>
      <c r="I246" s="8" t="s">
        <v>30</v>
      </c>
      <c r="J246" s="8" t="s">
        <v>31</v>
      </c>
      <c r="K246" s="8" t="s">
        <v>240</v>
      </c>
      <c r="L246" s="10">
        <v>168.68</v>
      </c>
      <c r="M246" s="8">
        <v>2</v>
      </c>
      <c r="N246" s="11">
        <v>0.05</v>
      </c>
      <c r="O246" s="10">
        <v>37.39</v>
      </c>
      <c r="P246" s="12">
        <f t="shared" si="3"/>
        <v>0.22166231918425419</v>
      </c>
    </row>
    <row r="247" spans="1:16" ht="15" customHeight="1" x14ac:dyDescent="0.25">
      <c r="A247" s="13" t="s">
        <v>655</v>
      </c>
      <c r="B247" s="14">
        <v>44619</v>
      </c>
      <c r="C247" s="14">
        <v>44624</v>
      </c>
      <c r="D247" s="13" t="s">
        <v>656</v>
      </c>
      <c r="E247" s="13" t="s">
        <v>458</v>
      </c>
      <c r="F247" s="13" t="s">
        <v>50</v>
      </c>
      <c r="G247" s="13" t="s">
        <v>36</v>
      </c>
      <c r="H247" s="13" t="s">
        <v>232</v>
      </c>
      <c r="I247" s="13" t="s">
        <v>30</v>
      </c>
      <c r="J247" s="13" t="s">
        <v>31</v>
      </c>
      <c r="K247" s="13" t="s">
        <v>32</v>
      </c>
      <c r="L247" s="15">
        <v>1065.06</v>
      </c>
      <c r="M247" s="13">
        <v>9</v>
      </c>
      <c r="N247" s="16">
        <v>0</v>
      </c>
      <c r="O247" s="15">
        <v>433.02</v>
      </c>
      <c r="P247" s="17">
        <f t="shared" si="3"/>
        <v>0.40656864402005521</v>
      </c>
    </row>
    <row r="248" spans="1:16" ht="15" customHeight="1" x14ac:dyDescent="0.25">
      <c r="A248" s="8" t="s">
        <v>657</v>
      </c>
      <c r="B248" s="9">
        <v>44595</v>
      </c>
      <c r="C248" s="9">
        <v>44599</v>
      </c>
      <c r="D248" s="8" t="s">
        <v>658</v>
      </c>
      <c r="E248" s="8" t="s">
        <v>86</v>
      </c>
      <c r="F248" s="8" t="s">
        <v>28</v>
      </c>
      <c r="G248" s="8" t="s">
        <v>20</v>
      </c>
      <c r="H248" s="8" t="s">
        <v>21</v>
      </c>
      <c r="I248" s="8" t="s">
        <v>22</v>
      </c>
      <c r="J248" s="8" t="s">
        <v>76</v>
      </c>
      <c r="K248" s="8" t="s">
        <v>203</v>
      </c>
      <c r="L248" s="10">
        <v>7325.68</v>
      </c>
      <c r="M248" s="8">
        <v>8</v>
      </c>
      <c r="N248" s="11">
        <v>0</v>
      </c>
      <c r="O248" s="10">
        <v>2049.04</v>
      </c>
      <c r="P248" s="12">
        <f t="shared" si="3"/>
        <v>0.27970645728451143</v>
      </c>
    </row>
    <row r="249" spans="1:16" ht="15" customHeight="1" x14ac:dyDescent="0.25">
      <c r="A249" s="13" t="s">
        <v>659</v>
      </c>
      <c r="B249" s="14">
        <v>45170</v>
      </c>
      <c r="C249" s="14">
        <v>45174</v>
      </c>
      <c r="D249" s="13" t="s">
        <v>660</v>
      </c>
      <c r="E249" s="13" t="s">
        <v>235</v>
      </c>
      <c r="F249" s="13" t="s">
        <v>28</v>
      </c>
      <c r="G249" s="13" t="s">
        <v>36</v>
      </c>
      <c r="H249" s="13" t="s">
        <v>174</v>
      </c>
      <c r="I249" s="13" t="s">
        <v>30</v>
      </c>
      <c r="J249" s="13" t="s">
        <v>162</v>
      </c>
      <c r="K249" s="13" t="s">
        <v>305</v>
      </c>
      <c r="L249" s="15">
        <v>182.2</v>
      </c>
      <c r="M249" s="13">
        <v>3</v>
      </c>
      <c r="N249" s="16">
        <v>0.1</v>
      </c>
      <c r="O249" s="15">
        <v>47.87</v>
      </c>
      <c r="P249" s="17">
        <f t="shared" si="3"/>
        <v>0.26273326015367726</v>
      </c>
    </row>
    <row r="250" spans="1:16" ht="15" customHeight="1" x14ac:dyDescent="0.25">
      <c r="A250" s="8" t="s">
        <v>661</v>
      </c>
      <c r="B250" s="9">
        <v>44957</v>
      </c>
      <c r="C250" s="9">
        <v>44958</v>
      </c>
      <c r="D250" s="8" t="s">
        <v>662</v>
      </c>
      <c r="E250" s="8" t="s">
        <v>340</v>
      </c>
      <c r="F250" s="8" t="s">
        <v>19</v>
      </c>
      <c r="G250" s="8" t="s">
        <v>36</v>
      </c>
      <c r="H250" s="8" t="s">
        <v>136</v>
      </c>
      <c r="I250" s="8" t="s">
        <v>30</v>
      </c>
      <c r="J250" s="8" t="s">
        <v>60</v>
      </c>
      <c r="K250" s="8" t="s">
        <v>61</v>
      </c>
      <c r="L250" s="10">
        <v>55.94</v>
      </c>
      <c r="M250" s="8">
        <v>4</v>
      </c>
      <c r="N250" s="11">
        <v>0.2</v>
      </c>
      <c r="O250" s="10">
        <v>17.989999999999998</v>
      </c>
      <c r="P250" s="12">
        <f t="shared" si="3"/>
        <v>0.32159456560600641</v>
      </c>
    </row>
    <row r="251" spans="1:16" ht="15" customHeight="1" x14ac:dyDescent="0.25">
      <c r="A251" s="13" t="s">
        <v>663</v>
      </c>
      <c r="B251" s="14">
        <v>45224</v>
      </c>
      <c r="C251" s="14">
        <v>45226</v>
      </c>
      <c r="D251" s="13" t="s">
        <v>664</v>
      </c>
      <c r="E251" s="13" t="s">
        <v>273</v>
      </c>
      <c r="F251" s="13" t="s">
        <v>50</v>
      </c>
      <c r="G251" s="13" t="s">
        <v>20</v>
      </c>
      <c r="H251" s="13" t="s">
        <v>29</v>
      </c>
      <c r="I251" s="13" t="s">
        <v>30</v>
      </c>
      <c r="J251" s="13" t="s">
        <v>162</v>
      </c>
      <c r="K251" s="13" t="s">
        <v>284</v>
      </c>
      <c r="L251" s="15">
        <v>228.96</v>
      </c>
      <c r="M251" s="13">
        <v>5</v>
      </c>
      <c r="N251" s="16">
        <v>0.2</v>
      </c>
      <c r="O251" s="15">
        <v>54.29</v>
      </c>
      <c r="P251" s="17">
        <f t="shared" si="3"/>
        <v>0.23711565338923829</v>
      </c>
    </row>
    <row r="252" spans="1:16" ht="15" customHeight="1" x14ac:dyDescent="0.25">
      <c r="A252" s="8" t="s">
        <v>665</v>
      </c>
      <c r="B252" s="9">
        <v>45039</v>
      </c>
      <c r="C252" s="9">
        <v>45042</v>
      </c>
      <c r="D252" s="8" t="s">
        <v>666</v>
      </c>
      <c r="E252" s="8" t="s">
        <v>371</v>
      </c>
      <c r="F252" s="8" t="s">
        <v>19</v>
      </c>
      <c r="G252" s="8" t="s">
        <v>58</v>
      </c>
      <c r="H252" s="8" t="s">
        <v>81</v>
      </c>
      <c r="I252" s="8" t="s">
        <v>30</v>
      </c>
      <c r="J252" s="8" t="s">
        <v>162</v>
      </c>
      <c r="K252" s="8" t="s">
        <v>284</v>
      </c>
      <c r="L252" s="10">
        <v>556.38</v>
      </c>
      <c r="M252" s="8">
        <v>10</v>
      </c>
      <c r="N252" s="11">
        <v>0.1</v>
      </c>
      <c r="O252" s="10">
        <v>155.16999999999999</v>
      </c>
      <c r="P252" s="12">
        <f t="shared" si="3"/>
        <v>0.27889212408785363</v>
      </c>
    </row>
    <row r="253" spans="1:16" ht="15" customHeight="1" x14ac:dyDescent="0.25">
      <c r="A253" s="13" t="s">
        <v>667</v>
      </c>
      <c r="B253" s="14">
        <v>44845</v>
      </c>
      <c r="C253" s="14">
        <v>44851</v>
      </c>
      <c r="D253" s="13" t="s">
        <v>668</v>
      </c>
      <c r="E253" s="13" t="s">
        <v>202</v>
      </c>
      <c r="F253" s="13" t="s">
        <v>50</v>
      </c>
      <c r="G253" s="13" t="s">
        <v>43</v>
      </c>
      <c r="H253" s="13" t="s">
        <v>44</v>
      </c>
      <c r="I253" s="13" t="s">
        <v>30</v>
      </c>
      <c r="J253" s="13" t="s">
        <v>162</v>
      </c>
      <c r="K253" s="13" t="s">
        <v>163</v>
      </c>
      <c r="L253" s="15">
        <v>169.72</v>
      </c>
      <c r="M253" s="13">
        <v>3</v>
      </c>
      <c r="N253" s="16">
        <v>0.05</v>
      </c>
      <c r="O253" s="15">
        <v>38.200000000000003</v>
      </c>
      <c r="P253" s="17">
        <f t="shared" si="3"/>
        <v>0.22507659674758426</v>
      </c>
    </row>
    <row r="254" spans="1:16" ht="15" customHeight="1" x14ac:dyDescent="0.25">
      <c r="A254" s="8" t="s">
        <v>669</v>
      </c>
      <c r="B254" s="9">
        <v>44588</v>
      </c>
      <c r="C254" s="9">
        <v>44594</v>
      </c>
      <c r="D254" s="8" t="s">
        <v>670</v>
      </c>
      <c r="E254" s="8" t="s">
        <v>157</v>
      </c>
      <c r="F254" s="8" t="s">
        <v>50</v>
      </c>
      <c r="G254" s="8" t="s">
        <v>58</v>
      </c>
      <c r="H254" s="8" t="s">
        <v>59</v>
      </c>
      <c r="I254" s="8" t="s">
        <v>52</v>
      </c>
      <c r="J254" s="8" t="s">
        <v>153</v>
      </c>
      <c r="K254" s="8" t="s">
        <v>154</v>
      </c>
      <c r="L254" s="10">
        <v>95.1</v>
      </c>
      <c r="M254" s="8">
        <v>1</v>
      </c>
      <c r="N254" s="11">
        <v>0.05</v>
      </c>
      <c r="O254" s="10">
        <v>34.64</v>
      </c>
      <c r="P254" s="12">
        <f t="shared" si="3"/>
        <v>0.36424815983175607</v>
      </c>
    </row>
    <row r="255" spans="1:16" ht="15" customHeight="1" x14ac:dyDescent="0.25">
      <c r="A255" s="13" t="s">
        <v>671</v>
      </c>
      <c r="B255" s="14">
        <v>45249</v>
      </c>
      <c r="C255" s="14">
        <v>45252</v>
      </c>
      <c r="D255" s="13" t="s">
        <v>672</v>
      </c>
      <c r="E255" s="13" t="s">
        <v>239</v>
      </c>
      <c r="F255" s="13" t="s">
        <v>28</v>
      </c>
      <c r="G255" s="13" t="s">
        <v>43</v>
      </c>
      <c r="H255" s="13" t="s">
        <v>51</v>
      </c>
      <c r="I255" s="13" t="s">
        <v>30</v>
      </c>
      <c r="J255" s="13" t="s">
        <v>60</v>
      </c>
      <c r="K255" s="13" t="s">
        <v>140</v>
      </c>
      <c r="L255" s="15">
        <v>34.4</v>
      </c>
      <c r="M255" s="13">
        <v>2</v>
      </c>
      <c r="N255" s="16">
        <v>0.1</v>
      </c>
      <c r="O255" s="15">
        <v>9.24</v>
      </c>
      <c r="P255" s="17">
        <f t="shared" si="3"/>
        <v>0.2686046511627907</v>
      </c>
    </row>
    <row r="256" spans="1:16" ht="15" customHeight="1" x14ac:dyDescent="0.25">
      <c r="A256" s="8" t="s">
        <v>673</v>
      </c>
      <c r="B256" s="9">
        <v>44789</v>
      </c>
      <c r="C256" s="9">
        <v>44792</v>
      </c>
      <c r="D256" s="8" t="s">
        <v>674</v>
      </c>
      <c r="E256" s="8" t="s">
        <v>139</v>
      </c>
      <c r="F256" s="8" t="s">
        <v>50</v>
      </c>
      <c r="G256" s="8" t="s">
        <v>36</v>
      </c>
      <c r="H256" s="8" t="s">
        <v>37</v>
      </c>
      <c r="I256" s="8" t="s">
        <v>52</v>
      </c>
      <c r="J256" s="8" t="s">
        <v>82</v>
      </c>
      <c r="K256" s="8" t="s">
        <v>100</v>
      </c>
      <c r="L256" s="10">
        <v>1178.8</v>
      </c>
      <c r="M256" s="8">
        <v>10</v>
      </c>
      <c r="N256" s="11">
        <v>0</v>
      </c>
      <c r="O256" s="10">
        <v>391.79</v>
      </c>
      <c r="P256" s="12">
        <f t="shared" si="3"/>
        <v>0.33236342042755346</v>
      </c>
    </row>
    <row r="257" spans="1:16" ht="15" customHeight="1" x14ac:dyDescent="0.25">
      <c r="A257" s="13" t="s">
        <v>675</v>
      </c>
      <c r="B257" s="14">
        <v>45074</v>
      </c>
      <c r="C257" s="14">
        <v>45075</v>
      </c>
      <c r="D257" s="13" t="s">
        <v>676</v>
      </c>
      <c r="E257" s="13" t="s">
        <v>256</v>
      </c>
      <c r="F257" s="13" t="s">
        <v>50</v>
      </c>
      <c r="G257" s="13" t="s">
        <v>58</v>
      </c>
      <c r="H257" s="13" t="s">
        <v>59</v>
      </c>
      <c r="I257" s="13" t="s">
        <v>22</v>
      </c>
      <c r="J257" s="13" t="s">
        <v>23</v>
      </c>
      <c r="K257" s="13" t="s">
        <v>143</v>
      </c>
      <c r="L257" s="15">
        <v>98.42</v>
      </c>
      <c r="M257" s="13">
        <v>4</v>
      </c>
      <c r="N257" s="16">
        <v>0.3</v>
      </c>
      <c r="O257" s="15">
        <v>40.76</v>
      </c>
      <c r="P257" s="17">
        <f t="shared" si="3"/>
        <v>0.41414346677504571</v>
      </c>
    </row>
    <row r="258" spans="1:16" ht="15" customHeight="1" x14ac:dyDescent="0.25">
      <c r="A258" s="8" t="s">
        <v>677</v>
      </c>
      <c r="B258" s="9">
        <v>44902</v>
      </c>
      <c r="C258" s="9">
        <v>44908</v>
      </c>
      <c r="D258" s="8" t="s">
        <v>678</v>
      </c>
      <c r="E258" s="8" t="s">
        <v>103</v>
      </c>
      <c r="F258" s="8" t="s">
        <v>28</v>
      </c>
      <c r="G258" s="8" t="s">
        <v>36</v>
      </c>
      <c r="H258" s="8" t="s">
        <v>37</v>
      </c>
      <c r="I258" s="8" t="s">
        <v>22</v>
      </c>
      <c r="J258" s="8" t="s">
        <v>45</v>
      </c>
      <c r="K258" s="8" t="s">
        <v>171</v>
      </c>
      <c r="L258" s="10">
        <v>2124.5</v>
      </c>
      <c r="M258" s="8">
        <v>5</v>
      </c>
      <c r="N258" s="11">
        <v>0</v>
      </c>
      <c r="O258" s="10">
        <v>649.95000000000005</v>
      </c>
      <c r="P258" s="12">
        <f t="shared" ref="P258:P321" si="4">O258/L258</f>
        <v>0.30593080724876442</v>
      </c>
    </row>
    <row r="259" spans="1:16" ht="15" customHeight="1" x14ac:dyDescent="0.25">
      <c r="A259" s="13" t="s">
        <v>679</v>
      </c>
      <c r="B259" s="14">
        <v>44694</v>
      </c>
      <c r="C259" s="14">
        <v>44699</v>
      </c>
      <c r="D259" s="13" t="s">
        <v>680</v>
      </c>
      <c r="E259" s="13" t="s">
        <v>124</v>
      </c>
      <c r="F259" s="13" t="s">
        <v>50</v>
      </c>
      <c r="G259" s="13" t="s">
        <v>58</v>
      </c>
      <c r="H259" s="13" t="s">
        <v>181</v>
      </c>
      <c r="I259" s="13" t="s">
        <v>52</v>
      </c>
      <c r="J259" s="13" t="s">
        <v>153</v>
      </c>
      <c r="K259" s="13" t="s">
        <v>154</v>
      </c>
      <c r="L259" s="15">
        <v>74.13</v>
      </c>
      <c r="M259" s="13">
        <v>1</v>
      </c>
      <c r="N259" s="16">
        <v>0.05</v>
      </c>
      <c r="O259" s="15">
        <v>19.82</v>
      </c>
      <c r="P259" s="17">
        <f t="shared" si="4"/>
        <v>0.26736813705652235</v>
      </c>
    </row>
    <row r="260" spans="1:16" ht="15" customHeight="1" x14ac:dyDescent="0.25">
      <c r="A260" s="8" t="s">
        <v>681</v>
      </c>
      <c r="B260" s="9">
        <v>44580</v>
      </c>
      <c r="C260" s="9">
        <v>44586</v>
      </c>
      <c r="D260" s="8" t="s">
        <v>682</v>
      </c>
      <c r="E260" s="8" t="s">
        <v>343</v>
      </c>
      <c r="F260" s="8" t="s">
        <v>19</v>
      </c>
      <c r="G260" s="8" t="s">
        <v>20</v>
      </c>
      <c r="H260" s="8" t="s">
        <v>29</v>
      </c>
      <c r="I260" s="8" t="s">
        <v>30</v>
      </c>
      <c r="J260" s="8" t="s">
        <v>162</v>
      </c>
      <c r="K260" s="8" t="s">
        <v>305</v>
      </c>
      <c r="L260" s="10">
        <v>133.08000000000001</v>
      </c>
      <c r="M260" s="8">
        <v>3</v>
      </c>
      <c r="N260" s="11">
        <v>0.1</v>
      </c>
      <c r="O260" s="10">
        <v>54.33</v>
      </c>
      <c r="P260" s="12">
        <f t="shared" si="4"/>
        <v>0.40825067628494133</v>
      </c>
    </row>
    <row r="261" spans="1:16" ht="15" customHeight="1" x14ac:dyDescent="0.25">
      <c r="A261" s="13" t="s">
        <v>683</v>
      </c>
      <c r="B261" s="14">
        <v>45028</v>
      </c>
      <c r="C261" s="14">
        <v>45034</v>
      </c>
      <c r="D261" s="13" t="s">
        <v>684</v>
      </c>
      <c r="E261" s="13" t="s">
        <v>458</v>
      </c>
      <c r="F261" s="13" t="s">
        <v>28</v>
      </c>
      <c r="G261" s="13" t="s">
        <v>43</v>
      </c>
      <c r="H261" s="13" t="s">
        <v>129</v>
      </c>
      <c r="I261" s="13" t="s">
        <v>22</v>
      </c>
      <c r="J261" s="13" t="s">
        <v>76</v>
      </c>
      <c r="K261" s="13" t="s">
        <v>203</v>
      </c>
      <c r="L261" s="15">
        <v>6056.52</v>
      </c>
      <c r="M261" s="13">
        <v>6</v>
      </c>
      <c r="N261" s="16">
        <v>0</v>
      </c>
      <c r="O261" s="15">
        <v>1289.9100000000001</v>
      </c>
      <c r="P261" s="17">
        <f t="shared" si="4"/>
        <v>0.21297874026668781</v>
      </c>
    </row>
    <row r="262" spans="1:16" ht="15" customHeight="1" x14ac:dyDescent="0.25">
      <c r="A262" s="8" t="s">
        <v>685</v>
      </c>
      <c r="B262" s="9">
        <v>44791</v>
      </c>
      <c r="C262" s="9">
        <v>44797</v>
      </c>
      <c r="D262" s="8" t="s">
        <v>686</v>
      </c>
      <c r="E262" s="8" t="s">
        <v>75</v>
      </c>
      <c r="F262" s="8" t="s">
        <v>28</v>
      </c>
      <c r="G262" s="8" t="s">
        <v>36</v>
      </c>
      <c r="H262" s="8" t="s">
        <v>136</v>
      </c>
      <c r="I262" s="8" t="s">
        <v>22</v>
      </c>
      <c r="J262" s="8" t="s">
        <v>23</v>
      </c>
      <c r="K262" s="8" t="s">
        <v>143</v>
      </c>
      <c r="L262" s="10">
        <v>245.7</v>
      </c>
      <c r="M262" s="8">
        <v>6</v>
      </c>
      <c r="N262" s="11">
        <v>0</v>
      </c>
      <c r="O262" s="10">
        <v>87.52</v>
      </c>
      <c r="P262" s="12">
        <f t="shared" si="4"/>
        <v>0.35620675620675618</v>
      </c>
    </row>
    <row r="263" spans="1:16" ht="15" customHeight="1" x14ac:dyDescent="0.25">
      <c r="A263" s="13" t="s">
        <v>687</v>
      </c>
      <c r="B263" s="14">
        <v>45170</v>
      </c>
      <c r="C263" s="14">
        <v>45171</v>
      </c>
      <c r="D263" s="13" t="s">
        <v>688</v>
      </c>
      <c r="E263" s="13" t="s">
        <v>362</v>
      </c>
      <c r="F263" s="13" t="s">
        <v>19</v>
      </c>
      <c r="G263" s="13" t="s">
        <v>20</v>
      </c>
      <c r="H263" s="13" t="s">
        <v>99</v>
      </c>
      <c r="I263" s="13" t="s">
        <v>30</v>
      </c>
      <c r="J263" s="13" t="s">
        <v>114</v>
      </c>
      <c r="K263" s="13" t="s">
        <v>236</v>
      </c>
      <c r="L263" s="15">
        <v>88.2</v>
      </c>
      <c r="M263" s="13">
        <v>8</v>
      </c>
      <c r="N263" s="16">
        <v>0.1</v>
      </c>
      <c r="O263" s="15">
        <v>29.23</v>
      </c>
      <c r="P263" s="17">
        <f t="shared" si="4"/>
        <v>0.33140589569161</v>
      </c>
    </row>
    <row r="264" spans="1:16" ht="15" customHeight="1" x14ac:dyDescent="0.25">
      <c r="A264" s="8" t="s">
        <v>689</v>
      </c>
      <c r="B264" s="9">
        <v>44870</v>
      </c>
      <c r="C264" s="9">
        <v>44874</v>
      </c>
      <c r="D264" s="8" t="s">
        <v>690</v>
      </c>
      <c r="E264" s="8" t="s">
        <v>139</v>
      </c>
      <c r="F264" s="8" t="s">
        <v>28</v>
      </c>
      <c r="G264" s="8" t="s">
        <v>20</v>
      </c>
      <c r="H264" s="8" t="s">
        <v>21</v>
      </c>
      <c r="I264" s="8" t="s">
        <v>30</v>
      </c>
      <c r="J264" s="8" t="s">
        <v>60</v>
      </c>
      <c r="K264" s="8" t="s">
        <v>140</v>
      </c>
      <c r="L264" s="10">
        <v>38.880000000000003</v>
      </c>
      <c r="M264" s="8">
        <v>2</v>
      </c>
      <c r="N264" s="11">
        <v>0</v>
      </c>
      <c r="O264" s="10">
        <v>14.75</v>
      </c>
      <c r="P264" s="12">
        <f t="shared" si="4"/>
        <v>0.3793724279835391</v>
      </c>
    </row>
    <row r="265" spans="1:16" ht="15" customHeight="1" x14ac:dyDescent="0.25">
      <c r="A265" s="13" t="s">
        <v>691</v>
      </c>
      <c r="B265" s="14">
        <v>45185</v>
      </c>
      <c r="C265" s="14">
        <v>45187</v>
      </c>
      <c r="D265" s="13" t="s">
        <v>692</v>
      </c>
      <c r="E265" s="13" t="s">
        <v>124</v>
      </c>
      <c r="F265" s="13" t="s">
        <v>50</v>
      </c>
      <c r="G265" s="13" t="s">
        <v>43</v>
      </c>
      <c r="H265" s="13" t="s">
        <v>51</v>
      </c>
      <c r="I265" s="13" t="s">
        <v>30</v>
      </c>
      <c r="J265" s="13" t="s">
        <v>31</v>
      </c>
      <c r="K265" s="13" t="s">
        <v>65</v>
      </c>
      <c r="L265" s="15">
        <v>173.1</v>
      </c>
      <c r="M265" s="13">
        <v>3</v>
      </c>
      <c r="N265" s="16">
        <v>0.3</v>
      </c>
      <c r="O265" s="15">
        <v>38.5</v>
      </c>
      <c r="P265" s="17">
        <f t="shared" si="4"/>
        <v>0.22241478913922588</v>
      </c>
    </row>
    <row r="266" spans="1:16" ht="15" customHeight="1" x14ac:dyDescent="0.25">
      <c r="A266" s="8" t="s">
        <v>693</v>
      </c>
      <c r="B266" s="9">
        <v>44564</v>
      </c>
      <c r="C266" s="9">
        <v>44565</v>
      </c>
      <c r="D266" s="8" t="s">
        <v>694</v>
      </c>
      <c r="E266" s="8" t="s">
        <v>273</v>
      </c>
      <c r="F266" s="8" t="s">
        <v>28</v>
      </c>
      <c r="G266" s="8" t="s">
        <v>20</v>
      </c>
      <c r="H266" s="8" t="s">
        <v>99</v>
      </c>
      <c r="I266" s="8" t="s">
        <v>30</v>
      </c>
      <c r="J266" s="8" t="s">
        <v>31</v>
      </c>
      <c r="K266" s="8" t="s">
        <v>32</v>
      </c>
      <c r="L266" s="10">
        <v>228.14</v>
      </c>
      <c r="M266" s="8">
        <v>2</v>
      </c>
      <c r="N266" s="11">
        <v>0</v>
      </c>
      <c r="O266" s="10">
        <v>61.39</v>
      </c>
      <c r="P266" s="12">
        <f t="shared" si="4"/>
        <v>0.26908915578153769</v>
      </c>
    </row>
    <row r="267" spans="1:16" ht="15" customHeight="1" x14ac:dyDescent="0.25">
      <c r="A267" s="13" t="s">
        <v>695</v>
      </c>
      <c r="B267" s="14">
        <v>45029</v>
      </c>
      <c r="C267" s="14">
        <v>45032</v>
      </c>
      <c r="D267" s="13" t="s">
        <v>696</v>
      </c>
      <c r="E267" s="13" t="s">
        <v>365</v>
      </c>
      <c r="F267" s="13" t="s">
        <v>19</v>
      </c>
      <c r="G267" s="13" t="s">
        <v>43</v>
      </c>
      <c r="H267" s="13" t="s">
        <v>129</v>
      </c>
      <c r="I267" s="13" t="s">
        <v>22</v>
      </c>
      <c r="J267" s="13" t="s">
        <v>23</v>
      </c>
      <c r="K267" s="13" t="s">
        <v>143</v>
      </c>
      <c r="L267" s="15">
        <v>150.54</v>
      </c>
      <c r="M267" s="13">
        <v>5</v>
      </c>
      <c r="N267" s="16">
        <v>0.15</v>
      </c>
      <c r="O267" s="15">
        <v>51.71</v>
      </c>
      <c r="P267" s="17">
        <f t="shared" si="4"/>
        <v>0.34349674505114924</v>
      </c>
    </row>
    <row r="268" spans="1:16" ht="15" customHeight="1" x14ac:dyDescent="0.25">
      <c r="A268" s="8" t="s">
        <v>697</v>
      </c>
      <c r="B268" s="9">
        <v>44571</v>
      </c>
      <c r="C268" s="9">
        <v>44578</v>
      </c>
      <c r="D268" s="8" t="s">
        <v>698</v>
      </c>
      <c r="E268" s="8" t="s">
        <v>418</v>
      </c>
      <c r="F268" s="8" t="s">
        <v>50</v>
      </c>
      <c r="G268" s="8" t="s">
        <v>36</v>
      </c>
      <c r="H268" s="8" t="s">
        <v>136</v>
      </c>
      <c r="I268" s="8" t="s">
        <v>52</v>
      </c>
      <c r="J268" s="8" t="s">
        <v>153</v>
      </c>
      <c r="K268" s="8" t="s">
        <v>411</v>
      </c>
      <c r="L268" s="10">
        <v>560.4</v>
      </c>
      <c r="M268" s="8">
        <v>5</v>
      </c>
      <c r="N268" s="11">
        <v>0</v>
      </c>
      <c r="O268" s="10">
        <v>199.98</v>
      </c>
      <c r="P268" s="12">
        <f t="shared" si="4"/>
        <v>0.35685224839400426</v>
      </c>
    </row>
    <row r="269" spans="1:16" ht="15" customHeight="1" x14ac:dyDescent="0.25">
      <c r="A269" s="13" t="s">
        <v>699</v>
      </c>
      <c r="B269" s="14">
        <v>44972</v>
      </c>
      <c r="C269" s="14">
        <v>44976</v>
      </c>
      <c r="D269" s="13" t="s">
        <v>700</v>
      </c>
      <c r="E269" s="13" t="s">
        <v>166</v>
      </c>
      <c r="F269" s="13" t="s">
        <v>50</v>
      </c>
      <c r="G269" s="13" t="s">
        <v>58</v>
      </c>
      <c r="H269" s="13" t="s">
        <v>59</v>
      </c>
      <c r="I269" s="13" t="s">
        <v>30</v>
      </c>
      <c r="J269" s="13" t="s">
        <v>31</v>
      </c>
      <c r="K269" s="13" t="s">
        <v>65</v>
      </c>
      <c r="L269" s="15">
        <v>256.74</v>
      </c>
      <c r="M269" s="13">
        <v>3</v>
      </c>
      <c r="N269" s="16">
        <v>0</v>
      </c>
      <c r="O269" s="15">
        <v>52.53</v>
      </c>
      <c r="P269" s="17">
        <f t="shared" si="4"/>
        <v>0.20460387941107736</v>
      </c>
    </row>
    <row r="270" spans="1:16" ht="15" customHeight="1" x14ac:dyDescent="0.25">
      <c r="A270" s="8" t="s">
        <v>701</v>
      </c>
      <c r="B270" s="9">
        <v>45166</v>
      </c>
      <c r="C270" s="9">
        <v>45170</v>
      </c>
      <c r="D270" s="8" t="s">
        <v>702</v>
      </c>
      <c r="E270" s="8" t="s">
        <v>166</v>
      </c>
      <c r="F270" s="8" t="s">
        <v>28</v>
      </c>
      <c r="G270" s="8" t="s">
        <v>58</v>
      </c>
      <c r="H270" s="8" t="s">
        <v>87</v>
      </c>
      <c r="I270" s="8" t="s">
        <v>52</v>
      </c>
      <c r="J270" s="8" t="s">
        <v>82</v>
      </c>
      <c r="K270" s="8" t="s">
        <v>206</v>
      </c>
      <c r="L270" s="10">
        <v>148.58000000000001</v>
      </c>
      <c r="M270" s="8">
        <v>1</v>
      </c>
      <c r="N270" s="11">
        <v>0</v>
      </c>
      <c r="O270" s="10">
        <v>48.92</v>
      </c>
      <c r="P270" s="12">
        <f t="shared" si="4"/>
        <v>0.32925023556333288</v>
      </c>
    </row>
    <row r="271" spans="1:16" ht="15" customHeight="1" x14ac:dyDescent="0.25">
      <c r="A271" s="13" t="s">
        <v>703</v>
      </c>
      <c r="B271" s="14">
        <v>45013</v>
      </c>
      <c r="C271" s="14">
        <v>45014</v>
      </c>
      <c r="D271" s="13" t="s">
        <v>704</v>
      </c>
      <c r="E271" s="13" t="s">
        <v>35</v>
      </c>
      <c r="F271" s="13" t="s">
        <v>28</v>
      </c>
      <c r="G271" s="13" t="s">
        <v>20</v>
      </c>
      <c r="H271" s="13" t="s">
        <v>21</v>
      </c>
      <c r="I271" s="13" t="s">
        <v>52</v>
      </c>
      <c r="J271" s="13" t="s">
        <v>264</v>
      </c>
      <c r="K271" s="13" t="s">
        <v>344</v>
      </c>
      <c r="L271" s="15">
        <v>1839.7</v>
      </c>
      <c r="M271" s="13">
        <v>9</v>
      </c>
      <c r="N271" s="16">
        <v>0.05</v>
      </c>
      <c r="O271" s="15">
        <v>378.11</v>
      </c>
      <c r="P271" s="17">
        <f t="shared" si="4"/>
        <v>0.20552807522965702</v>
      </c>
    </row>
    <row r="272" spans="1:16" ht="15" customHeight="1" x14ac:dyDescent="0.25">
      <c r="A272" s="8" t="s">
        <v>705</v>
      </c>
      <c r="B272" s="9">
        <v>45005</v>
      </c>
      <c r="C272" s="9">
        <v>45011</v>
      </c>
      <c r="D272" s="8" t="s">
        <v>706</v>
      </c>
      <c r="E272" s="8" t="s">
        <v>157</v>
      </c>
      <c r="F272" s="8" t="s">
        <v>50</v>
      </c>
      <c r="G272" s="8" t="s">
        <v>36</v>
      </c>
      <c r="H272" s="8" t="s">
        <v>174</v>
      </c>
      <c r="I272" s="8" t="s">
        <v>30</v>
      </c>
      <c r="J272" s="8" t="s">
        <v>31</v>
      </c>
      <c r="K272" s="8" t="s">
        <v>32</v>
      </c>
      <c r="L272" s="10">
        <v>1070.01</v>
      </c>
      <c r="M272" s="8">
        <v>9</v>
      </c>
      <c r="N272" s="11">
        <v>0</v>
      </c>
      <c r="O272" s="10">
        <v>478.39</v>
      </c>
      <c r="P272" s="12">
        <f t="shared" si="4"/>
        <v>0.44708927953944355</v>
      </c>
    </row>
    <row r="273" spans="1:16" ht="15" customHeight="1" x14ac:dyDescent="0.25">
      <c r="A273" s="13" t="s">
        <v>707</v>
      </c>
      <c r="B273" s="14">
        <v>45069</v>
      </c>
      <c r="C273" s="14">
        <v>45076</v>
      </c>
      <c r="D273" s="13" t="s">
        <v>708</v>
      </c>
      <c r="E273" s="13" t="s">
        <v>249</v>
      </c>
      <c r="F273" s="13" t="s">
        <v>50</v>
      </c>
      <c r="G273" s="13" t="s">
        <v>36</v>
      </c>
      <c r="H273" s="13" t="s">
        <v>232</v>
      </c>
      <c r="I273" s="13" t="s">
        <v>52</v>
      </c>
      <c r="J273" s="13" t="s">
        <v>53</v>
      </c>
      <c r="K273" s="13" t="s">
        <v>199</v>
      </c>
      <c r="L273" s="15">
        <v>1036.26</v>
      </c>
      <c r="M273" s="13">
        <v>5</v>
      </c>
      <c r="N273" s="16">
        <v>0.05</v>
      </c>
      <c r="O273" s="15">
        <v>323.7</v>
      </c>
      <c r="P273" s="17">
        <f t="shared" si="4"/>
        <v>0.31237334259741761</v>
      </c>
    </row>
    <row r="274" spans="1:16" ht="15" customHeight="1" x14ac:dyDescent="0.25">
      <c r="A274" s="8" t="s">
        <v>709</v>
      </c>
      <c r="B274" s="9">
        <v>44642</v>
      </c>
      <c r="C274" s="9">
        <v>44646</v>
      </c>
      <c r="D274" s="8" t="s">
        <v>710</v>
      </c>
      <c r="E274" s="8" t="s">
        <v>161</v>
      </c>
      <c r="F274" s="8" t="s">
        <v>19</v>
      </c>
      <c r="G274" s="8" t="s">
        <v>58</v>
      </c>
      <c r="H274" s="8" t="s">
        <v>181</v>
      </c>
      <c r="I274" s="8" t="s">
        <v>52</v>
      </c>
      <c r="J274" s="8" t="s">
        <v>153</v>
      </c>
      <c r="K274" s="8" t="s">
        <v>154</v>
      </c>
      <c r="L274" s="10">
        <v>232.44</v>
      </c>
      <c r="M274" s="8">
        <v>2</v>
      </c>
      <c r="N274" s="11">
        <v>0</v>
      </c>
      <c r="O274" s="10">
        <v>98.63</v>
      </c>
      <c r="P274" s="12">
        <f t="shared" si="4"/>
        <v>0.42432455687489246</v>
      </c>
    </row>
    <row r="275" spans="1:16" ht="15" customHeight="1" x14ac:dyDescent="0.25">
      <c r="A275" s="13" t="s">
        <v>711</v>
      </c>
      <c r="B275" s="14">
        <v>44655</v>
      </c>
      <c r="C275" s="14">
        <v>44662</v>
      </c>
      <c r="D275" s="13" t="s">
        <v>712</v>
      </c>
      <c r="E275" s="13" t="s">
        <v>157</v>
      </c>
      <c r="F275" s="13" t="s">
        <v>28</v>
      </c>
      <c r="G275" s="13" t="s">
        <v>43</v>
      </c>
      <c r="H275" s="13" t="s">
        <v>51</v>
      </c>
      <c r="I275" s="13" t="s">
        <v>30</v>
      </c>
      <c r="J275" s="13" t="s">
        <v>31</v>
      </c>
      <c r="K275" s="13" t="s">
        <v>65</v>
      </c>
      <c r="L275" s="15">
        <v>661.37</v>
      </c>
      <c r="M275" s="13">
        <v>6</v>
      </c>
      <c r="N275" s="16">
        <v>0.05</v>
      </c>
      <c r="O275" s="15">
        <v>158.01</v>
      </c>
      <c r="P275" s="17">
        <f t="shared" si="4"/>
        <v>0.23891316509669322</v>
      </c>
    </row>
    <row r="276" spans="1:16" ht="15" customHeight="1" x14ac:dyDescent="0.25">
      <c r="A276" s="8" t="s">
        <v>713</v>
      </c>
      <c r="B276" s="9">
        <v>45234</v>
      </c>
      <c r="C276" s="9">
        <v>45237</v>
      </c>
      <c r="D276" s="8" t="s">
        <v>714</v>
      </c>
      <c r="E276" s="8" t="s">
        <v>365</v>
      </c>
      <c r="F276" s="8" t="s">
        <v>19</v>
      </c>
      <c r="G276" s="8" t="s">
        <v>58</v>
      </c>
      <c r="H276" s="8" t="s">
        <v>81</v>
      </c>
      <c r="I276" s="8" t="s">
        <v>30</v>
      </c>
      <c r="J276" s="8" t="s">
        <v>60</v>
      </c>
      <c r="K276" s="8" t="s">
        <v>313</v>
      </c>
      <c r="L276" s="10">
        <v>98.17</v>
      </c>
      <c r="M276" s="8">
        <v>6</v>
      </c>
      <c r="N276" s="11">
        <v>0.1</v>
      </c>
      <c r="O276" s="10">
        <v>30.73</v>
      </c>
      <c r="P276" s="12">
        <f t="shared" si="4"/>
        <v>0.31302842008760312</v>
      </c>
    </row>
    <row r="277" spans="1:16" ht="15" customHeight="1" x14ac:dyDescent="0.25">
      <c r="A277" s="13" t="s">
        <v>715</v>
      </c>
      <c r="B277" s="14">
        <v>44730</v>
      </c>
      <c r="C277" s="14">
        <v>44734</v>
      </c>
      <c r="D277" s="13" t="s">
        <v>716</v>
      </c>
      <c r="E277" s="13" t="s">
        <v>239</v>
      </c>
      <c r="F277" s="13" t="s">
        <v>19</v>
      </c>
      <c r="G277" s="13" t="s">
        <v>36</v>
      </c>
      <c r="H277" s="13" t="s">
        <v>174</v>
      </c>
      <c r="I277" s="13" t="s">
        <v>52</v>
      </c>
      <c r="J277" s="13" t="s">
        <v>53</v>
      </c>
      <c r="K277" s="13" t="s">
        <v>278</v>
      </c>
      <c r="L277" s="15">
        <v>507.44</v>
      </c>
      <c r="M277" s="13">
        <v>2</v>
      </c>
      <c r="N277" s="16">
        <v>0.2</v>
      </c>
      <c r="O277" s="15">
        <v>201</v>
      </c>
      <c r="P277" s="17">
        <f t="shared" si="4"/>
        <v>0.39610594355982975</v>
      </c>
    </row>
    <row r="278" spans="1:16" ht="15" customHeight="1" x14ac:dyDescent="0.25">
      <c r="A278" s="8" t="s">
        <v>717</v>
      </c>
      <c r="B278" s="9">
        <v>44986</v>
      </c>
      <c r="C278" s="9">
        <v>44987</v>
      </c>
      <c r="D278" s="8" t="s">
        <v>718</v>
      </c>
      <c r="E278" s="8" t="s">
        <v>226</v>
      </c>
      <c r="F278" s="8" t="s">
        <v>50</v>
      </c>
      <c r="G278" s="8" t="s">
        <v>20</v>
      </c>
      <c r="H278" s="8" t="s">
        <v>167</v>
      </c>
      <c r="I278" s="8" t="s">
        <v>30</v>
      </c>
      <c r="J278" s="8" t="s">
        <v>60</v>
      </c>
      <c r="K278" s="8" t="s">
        <v>140</v>
      </c>
      <c r="L278" s="10">
        <v>19.600000000000001</v>
      </c>
      <c r="M278" s="8">
        <v>1</v>
      </c>
      <c r="N278" s="11">
        <v>0</v>
      </c>
      <c r="O278" s="10">
        <v>6.11</v>
      </c>
      <c r="P278" s="12">
        <f t="shared" si="4"/>
        <v>0.31173469387755104</v>
      </c>
    </row>
    <row r="279" spans="1:16" ht="15" customHeight="1" x14ac:dyDescent="0.25">
      <c r="A279" s="13" t="s">
        <v>719</v>
      </c>
      <c r="B279" s="14">
        <v>45082</v>
      </c>
      <c r="C279" s="14">
        <v>45089</v>
      </c>
      <c r="D279" s="13" t="s">
        <v>720</v>
      </c>
      <c r="E279" s="13" t="s">
        <v>249</v>
      </c>
      <c r="F279" s="13" t="s">
        <v>28</v>
      </c>
      <c r="G279" s="13" t="s">
        <v>36</v>
      </c>
      <c r="H279" s="13" t="s">
        <v>136</v>
      </c>
      <c r="I279" s="13" t="s">
        <v>22</v>
      </c>
      <c r="J279" s="13" t="s">
        <v>45</v>
      </c>
      <c r="K279" s="13" t="s">
        <v>171</v>
      </c>
      <c r="L279" s="15">
        <v>4294.62</v>
      </c>
      <c r="M279" s="13">
        <v>10</v>
      </c>
      <c r="N279" s="16">
        <v>0.15</v>
      </c>
      <c r="O279" s="15">
        <v>1391.34</v>
      </c>
      <c r="P279" s="17">
        <f t="shared" si="4"/>
        <v>0.32397278455369738</v>
      </c>
    </row>
    <row r="280" spans="1:16" ht="15" customHeight="1" x14ac:dyDescent="0.25">
      <c r="A280" s="8" t="s">
        <v>721</v>
      </c>
      <c r="B280" s="9">
        <v>44842</v>
      </c>
      <c r="C280" s="9">
        <v>44846</v>
      </c>
      <c r="D280" s="8" t="s">
        <v>722</v>
      </c>
      <c r="E280" s="8" t="s">
        <v>124</v>
      </c>
      <c r="F280" s="8" t="s">
        <v>50</v>
      </c>
      <c r="G280" s="8" t="s">
        <v>43</v>
      </c>
      <c r="H280" s="8" t="s">
        <v>44</v>
      </c>
      <c r="I280" s="8" t="s">
        <v>22</v>
      </c>
      <c r="J280" s="8" t="s">
        <v>23</v>
      </c>
      <c r="K280" s="8" t="s">
        <v>125</v>
      </c>
      <c r="L280" s="10">
        <v>367.02</v>
      </c>
      <c r="M280" s="8">
        <v>10</v>
      </c>
      <c r="N280" s="11">
        <v>0.1</v>
      </c>
      <c r="O280" s="10">
        <v>87.8</v>
      </c>
      <c r="P280" s="12">
        <f t="shared" si="4"/>
        <v>0.23922402048934663</v>
      </c>
    </row>
    <row r="281" spans="1:16" ht="15" customHeight="1" x14ac:dyDescent="0.25">
      <c r="A281" s="13" t="s">
        <v>723</v>
      </c>
      <c r="B281" s="14">
        <v>44767</v>
      </c>
      <c r="C281" s="14">
        <v>44769</v>
      </c>
      <c r="D281" s="13" t="s">
        <v>724</v>
      </c>
      <c r="E281" s="13" t="s">
        <v>157</v>
      </c>
      <c r="F281" s="13" t="s">
        <v>28</v>
      </c>
      <c r="G281" s="13" t="s">
        <v>43</v>
      </c>
      <c r="H281" s="13" t="s">
        <v>44</v>
      </c>
      <c r="I281" s="13" t="s">
        <v>22</v>
      </c>
      <c r="J281" s="13" t="s">
        <v>23</v>
      </c>
      <c r="K281" s="13" t="s">
        <v>24</v>
      </c>
      <c r="L281" s="15">
        <v>311.27999999999997</v>
      </c>
      <c r="M281" s="13">
        <v>9</v>
      </c>
      <c r="N281" s="16">
        <v>0.15</v>
      </c>
      <c r="O281" s="15">
        <v>84.8</v>
      </c>
      <c r="P281" s="17">
        <f t="shared" si="4"/>
        <v>0.27242354150603959</v>
      </c>
    </row>
    <row r="282" spans="1:16" ht="15" customHeight="1" x14ac:dyDescent="0.25">
      <c r="A282" s="8" t="s">
        <v>725</v>
      </c>
      <c r="B282" s="9">
        <v>45158</v>
      </c>
      <c r="C282" s="9">
        <v>45163</v>
      </c>
      <c r="D282" s="8" t="s">
        <v>726</v>
      </c>
      <c r="E282" s="8" t="s">
        <v>343</v>
      </c>
      <c r="F282" s="8" t="s">
        <v>50</v>
      </c>
      <c r="G282" s="8" t="s">
        <v>58</v>
      </c>
      <c r="H282" s="8" t="s">
        <v>59</v>
      </c>
      <c r="I282" s="8" t="s">
        <v>22</v>
      </c>
      <c r="J282" s="8" t="s">
        <v>45</v>
      </c>
      <c r="K282" s="8" t="s">
        <v>46</v>
      </c>
      <c r="L282" s="10">
        <v>2883.51</v>
      </c>
      <c r="M282" s="8">
        <v>7</v>
      </c>
      <c r="N282" s="11">
        <v>0</v>
      </c>
      <c r="O282" s="10">
        <v>1153.47</v>
      </c>
      <c r="P282" s="12">
        <f t="shared" si="4"/>
        <v>0.40002288877097703</v>
      </c>
    </row>
    <row r="283" spans="1:16" ht="15" customHeight="1" x14ac:dyDescent="0.25">
      <c r="A283" s="13" t="s">
        <v>727</v>
      </c>
      <c r="B283" s="14">
        <v>44711</v>
      </c>
      <c r="C283" s="14">
        <v>44718</v>
      </c>
      <c r="D283" s="13" t="s">
        <v>728</v>
      </c>
      <c r="E283" s="13" t="s">
        <v>431</v>
      </c>
      <c r="F283" s="13" t="s">
        <v>19</v>
      </c>
      <c r="G283" s="13" t="s">
        <v>20</v>
      </c>
      <c r="H283" s="13" t="s">
        <v>21</v>
      </c>
      <c r="I283" s="13" t="s">
        <v>30</v>
      </c>
      <c r="J283" s="13" t="s">
        <v>114</v>
      </c>
      <c r="K283" s="13" t="s">
        <v>236</v>
      </c>
      <c r="L283" s="15">
        <v>81.7</v>
      </c>
      <c r="M283" s="13">
        <v>8</v>
      </c>
      <c r="N283" s="16">
        <v>0.05</v>
      </c>
      <c r="O283" s="15">
        <v>21.6</v>
      </c>
      <c r="P283" s="17">
        <f t="shared" si="4"/>
        <v>0.26438188494492043</v>
      </c>
    </row>
    <row r="284" spans="1:16" ht="15" customHeight="1" x14ac:dyDescent="0.25">
      <c r="A284" s="8" t="s">
        <v>729</v>
      </c>
      <c r="B284" s="9">
        <v>45271</v>
      </c>
      <c r="C284" s="9">
        <v>45277</v>
      </c>
      <c r="D284" s="8" t="s">
        <v>730</v>
      </c>
      <c r="E284" s="8" t="s">
        <v>349</v>
      </c>
      <c r="F284" s="8" t="s">
        <v>50</v>
      </c>
      <c r="G284" s="8" t="s">
        <v>20</v>
      </c>
      <c r="H284" s="8" t="s">
        <v>167</v>
      </c>
      <c r="I284" s="8" t="s">
        <v>52</v>
      </c>
      <c r="J284" s="8" t="s">
        <v>82</v>
      </c>
      <c r="K284" s="8" t="s">
        <v>206</v>
      </c>
      <c r="L284" s="10">
        <v>92.43</v>
      </c>
      <c r="M284" s="8">
        <v>1</v>
      </c>
      <c r="N284" s="11">
        <v>0.1</v>
      </c>
      <c r="O284" s="10">
        <v>36.9</v>
      </c>
      <c r="P284" s="12">
        <f t="shared" si="4"/>
        <v>0.39922103213242449</v>
      </c>
    </row>
    <row r="285" spans="1:16" ht="15" customHeight="1" x14ac:dyDescent="0.25">
      <c r="A285" s="13" t="s">
        <v>731</v>
      </c>
      <c r="B285" s="14">
        <v>45164</v>
      </c>
      <c r="C285" s="14">
        <v>45169</v>
      </c>
      <c r="D285" s="13" t="s">
        <v>732</v>
      </c>
      <c r="E285" s="13" t="s">
        <v>106</v>
      </c>
      <c r="F285" s="13" t="s">
        <v>50</v>
      </c>
      <c r="G285" s="13" t="s">
        <v>36</v>
      </c>
      <c r="H285" s="13" t="s">
        <v>136</v>
      </c>
      <c r="I285" s="13" t="s">
        <v>52</v>
      </c>
      <c r="J285" s="13" t="s">
        <v>53</v>
      </c>
      <c r="K285" s="13" t="s">
        <v>54</v>
      </c>
      <c r="L285" s="15">
        <v>467.06</v>
      </c>
      <c r="M285" s="13">
        <v>2</v>
      </c>
      <c r="N285" s="16">
        <v>0</v>
      </c>
      <c r="O285" s="15">
        <v>124.35</v>
      </c>
      <c r="P285" s="17">
        <f t="shared" si="4"/>
        <v>0.26623988352674172</v>
      </c>
    </row>
    <row r="286" spans="1:16" ht="15" customHeight="1" x14ac:dyDescent="0.25">
      <c r="A286" s="8" t="s">
        <v>733</v>
      </c>
      <c r="B286" s="9">
        <v>45000</v>
      </c>
      <c r="C286" s="9">
        <v>45003</v>
      </c>
      <c r="D286" s="8" t="s">
        <v>734</v>
      </c>
      <c r="E286" s="8" t="s">
        <v>113</v>
      </c>
      <c r="F286" s="8" t="s">
        <v>19</v>
      </c>
      <c r="G286" s="8" t="s">
        <v>43</v>
      </c>
      <c r="H286" s="8" t="s">
        <v>51</v>
      </c>
      <c r="I286" s="8" t="s">
        <v>30</v>
      </c>
      <c r="J286" s="8" t="s">
        <v>162</v>
      </c>
      <c r="K286" s="8" t="s">
        <v>163</v>
      </c>
      <c r="L286" s="10">
        <v>349.74</v>
      </c>
      <c r="M286" s="8">
        <v>6</v>
      </c>
      <c r="N286" s="11">
        <v>0</v>
      </c>
      <c r="O286" s="10">
        <v>153.88999999999999</v>
      </c>
      <c r="P286" s="12">
        <f t="shared" si="4"/>
        <v>0.4400125807742894</v>
      </c>
    </row>
    <row r="287" spans="1:16" ht="15" customHeight="1" x14ac:dyDescent="0.25">
      <c r="A287" s="13" t="s">
        <v>735</v>
      </c>
      <c r="B287" s="14">
        <v>45202</v>
      </c>
      <c r="C287" s="14">
        <v>45207</v>
      </c>
      <c r="D287" s="13" t="s">
        <v>736</v>
      </c>
      <c r="E287" s="13" t="s">
        <v>359</v>
      </c>
      <c r="F287" s="13" t="s">
        <v>28</v>
      </c>
      <c r="G287" s="13" t="s">
        <v>43</v>
      </c>
      <c r="H287" s="13" t="s">
        <v>129</v>
      </c>
      <c r="I287" s="13" t="s">
        <v>30</v>
      </c>
      <c r="J287" s="13" t="s">
        <v>162</v>
      </c>
      <c r="K287" s="13" t="s">
        <v>163</v>
      </c>
      <c r="L287" s="15">
        <v>358.5</v>
      </c>
      <c r="M287" s="13">
        <v>6</v>
      </c>
      <c r="N287" s="16">
        <v>0</v>
      </c>
      <c r="O287" s="15">
        <v>114.67</v>
      </c>
      <c r="P287" s="17">
        <f t="shared" si="4"/>
        <v>0.31986052998605302</v>
      </c>
    </row>
    <row r="288" spans="1:16" ht="15" customHeight="1" x14ac:dyDescent="0.25">
      <c r="A288" s="8" t="s">
        <v>737</v>
      </c>
      <c r="B288" s="9">
        <v>45118</v>
      </c>
      <c r="C288" s="9">
        <v>45123</v>
      </c>
      <c r="D288" s="8" t="s">
        <v>738</v>
      </c>
      <c r="E288" s="8" t="s">
        <v>180</v>
      </c>
      <c r="F288" s="8" t="s">
        <v>50</v>
      </c>
      <c r="G288" s="8" t="s">
        <v>58</v>
      </c>
      <c r="H288" s="8" t="s">
        <v>81</v>
      </c>
      <c r="I288" s="8" t="s">
        <v>22</v>
      </c>
      <c r="J288" s="8" t="s">
        <v>23</v>
      </c>
      <c r="K288" s="8" t="s">
        <v>24</v>
      </c>
      <c r="L288" s="10">
        <v>188.78</v>
      </c>
      <c r="M288" s="8">
        <v>6</v>
      </c>
      <c r="N288" s="11">
        <v>0.1</v>
      </c>
      <c r="O288" s="10">
        <v>74.64</v>
      </c>
      <c r="P288" s="12">
        <f t="shared" si="4"/>
        <v>0.39538086661722638</v>
      </c>
    </row>
    <row r="289" spans="1:16" ht="15" customHeight="1" x14ac:dyDescent="0.25">
      <c r="A289" s="13" t="s">
        <v>739</v>
      </c>
      <c r="B289" s="14">
        <v>44679</v>
      </c>
      <c r="C289" s="14">
        <v>44685</v>
      </c>
      <c r="D289" s="13" t="s">
        <v>740</v>
      </c>
      <c r="E289" s="13" t="s">
        <v>235</v>
      </c>
      <c r="F289" s="13" t="s">
        <v>19</v>
      </c>
      <c r="G289" s="13" t="s">
        <v>43</v>
      </c>
      <c r="H289" s="13" t="s">
        <v>129</v>
      </c>
      <c r="I289" s="13" t="s">
        <v>30</v>
      </c>
      <c r="J289" s="13" t="s">
        <v>60</v>
      </c>
      <c r="K289" s="13" t="s">
        <v>313</v>
      </c>
      <c r="L289" s="15">
        <v>110.34</v>
      </c>
      <c r="M289" s="13">
        <v>6</v>
      </c>
      <c r="N289" s="16">
        <v>0</v>
      </c>
      <c r="O289" s="15">
        <v>39.01</v>
      </c>
      <c r="P289" s="17">
        <f t="shared" si="4"/>
        <v>0.35354359253217327</v>
      </c>
    </row>
    <row r="290" spans="1:16" ht="15" customHeight="1" x14ac:dyDescent="0.25">
      <c r="A290" s="8" t="s">
        <v>741</v>
      </c>
      <c r="B290" s="9">
        <v>45091</v>
      </c>
      <c r="C290" s="9">
        <v>45098</v>
      </c>
      <c r="D290" s="8" t="s">
        <v>742</v>
      </c>
      <c r="E290" s="8" t="s">
        <v>75</v>
      </c>
      <c r="F290" s="8" t="s">
        <v>50</v>
      </c>
      <c r="G290" s="8" t="s">
        <v>43</v>
      </c>
      <c r="H290" s="8" t="s">
        <v>129</v>
      </c>
      <c r="I290" s="8" t="s">
        <v>22</v>
      </c>
      <c r="J290" s="8" t="s">
        <v>76</v>
      </c>
      <c r="K290" s="8" t="s">
        <v>77</v>
      </c>
      <c r="L290" s="10">
        <v>3380.08</v>
      </c>
      <c r="M290" s="8">
        <v>4</v>
      </c>
      <c r="N290" s="11">
        <v>0</v>
      </c>
      <c r="O290" s="10">
        <v>719.78</v>
      </c>
      <c r="P290" s="12">
        <f t="shared" si="4"/>
        <v>0.21294762254147831</v>
      </c>
    </row>
    <row r="291" spans="1:16" ht="15" customHeight="1" x14ac:dyDescent="0.25">
      <c r="A291" s="13" t="s">
        <v>743</v>
      </c>
      <c r="B291" s="14">
        <v>45203</v>
      </c>
      <c r="C291" s="14">
        <v>45204</v>
      </c>
      <c r="D291" s="13" t="s">
        <v>744</v>
      </c>
      <c r="E291" s="13" t="s">
        <v>218</v>
      </c>
      <c r="F291" s="13" t="s">
        <v>28</v>
      </c>
      <c r="G291" s="13" t="s">
        <v>36</v>
      </c>
      <c r="H291" s="13" t="s">
        <v>136</v>
      </c>
      <c r="I291" s="13" t="s">
        <v>52</v>
      </c>
      <c r="J291" s="13" t="s">
        <v>264</v>
      </c>
      <c r="K291" s="13" t="s">
        <v>281</v>
      </c>
      <c r="L291" s="15">
        <v>1584.94</v>
      </c>
      <c r="M291" s="13">
        <v>9</v>
      </c>
      <c r="N291" s="16">
        <v>0.2</v>
      </c>
      <c r="O291" s="15">
        <v>457.03</v>
      </c>
      <c r="P291" s="17">
        <f t="shared" si="4"/>
        <v>0.28835791891175688</v>
      </c>
    </row>
    <row r="292" spans="1:16" ht="15" customHeight="1" x14ac:dyDescent="0.25">
      <c r="A292" s="8" t="s">
        <v>745</v>
      </c>
      <c r="B292" s="9">
        <v>45032</v>
      </c>
      <c r="C292" s="9">
        <v>45038</v>
      </c>
      <c r="D292" s="8" t="s">
        <v>746</v>
      </c>
      <c r="E292" s="8" t="s">
        <v>270</v>
      </c>
      <c r="F292" s="8" t="s">
        <v>19</v>
      </c>
      <c r="G292" s="8" t="s">
        <v>43</v>
      </c>
      <c r="H292" s="8" t="s">
        <v>95</v>
      </c>
      <c r="I292" s="8" t="s">
        <v>22</v>
      </c>
      <c r="J292" s="8" t="s">
        <v>45</v>
      </c>
      <c r="K292" s="8" t="s">
        <v>46</v>
      </c>
      <c r="L292" s="10">
        <v>2353.67</v>
      </c>
      <c r="M292" s="8">
        <v>5</v>
      </c>
      <c r="N292" s="11">
        <v>0.05</v>
      </c>
      <c r="O292" s="10">
        <v>523.11</v>
      </c>
      <c r="P292" s="12">
        <f t="shared" si="4"/>
        <v>0.22225290716200657</v>
      </c>
    </row>
    <row r="293" spans="1:16" ht="15" customHeight="1" x14ac:dyDescent="0.25">
      <c r="A293" s="13" t="s">
        <v>747</v>
      </c>
      <c r="B293" s="14">
        <v>45207</v>
      </c>
      <c r="C293" s="14">
        <v>45211</v>
      </c>
      <c r="D293" s="13" t="s">
        <v>748</v>
      </c>
      <c r="E293" s="13" t="s">
        <v>371</v>
      </c>
      <c r="F293" s="13" t="s">
        <v>19</v>
      </c>
      <c r="G293" s="13" t="s">
        <v>58</v>
      </c>
      <c r="H293" s="13" t="s">
        <v>59</v>
      </c>
      <c r="I293" s="13" t="s">
        <v>52</v>
      </c>
      <c r="J293" s="13" t="s">
        <v>264</v>
      </c>
      <c r="K293" s="13" t="s">
        <v>344</v>
      </c>
      <c r="L293" s="15">
        <v>204.96</v>
      </c>
      <c r="M293" s="13">
        <v>1</v>
      </c>
      <c r="N293" s="16">
        <v>0</v>
      </c>
      <c r="O293" s="15">
        <v>53.5</v>
      </c>
      <c r="P293" s="17">
        <f t="shared" si="4"/>
        <v>0.26102654176424667</v>
      </c>
    </row>
    <row r="294" spans="1:16" ht="15" customHeight="1" x14ac:dyDescent="0.25">
      <c r="A294" s="8" t="s">
        <v>749</v>
      </c>
      <c r="B294" s="9">
        <v>45076</v>
      </c>
      <c r="C294" s="9">
        <v>45077</v>
      </c>
      <c r="D294" s="8" t="s">
        <v>750</v>
      </c>
      <c r="E294" s="8" t="s">
        <v>229</v>
      </c>
      <c r="F294" s="8" t="s">
        <v>28</v>
      </c>
      <c r="G294" s="8" t="s">
        <v>43</v>
      </c>
      <c r="H294" s="8" t="s">
        <v>44</v>
      </c>
      <c r="I294" s="8" t="s">
        <v>22</v>
      </c>
      <c r="J294" s="8" t="s">
        <v>76</v>
      </c>
      <c r="K294" s="8" t="s">
        <v>203</v>
      </c>
      <c r="L294" s="10">
        <v>6115.41</v>
      </c>
      <c r="M294" s="8">
        <v>7</v>
      </c>
      <c r="N294" s="11">
        <v>0</v>
      </c>
      <c r="O294" s="10">
        <v>2027.28</v>
      </c>
      <c r="P294" s="12">
        <f t="shared" si="4"/>
        <v>0.33150352960799029</v>
      </c>
    </row>
    <row r="295" spans="1:16" ht="15" customHeight="1" x14ac:dyDescent="0.25">
      <c r="A295" s="13" t="s">
        <v>751</v>
      </c>
      <c r="B295" s="14">
        <v>44962</v>
      </c>
      <c r="C295" s="14">
        <v>44969</v>
      </c>
      <c r="D295" s="13" t="s">
        <v>752</v>
      </c>
      <c r="E295" s="13" t="s">
        <v>170</v>
      </c>
      <c r="F295" s="13" t="s">
        <v>50</v>
      </c>
      <c r="G295" s="13" t="s">
        <v>43</v>
      </c>
      <c r="H295" s="13" t="s">
        <v>51</v>
      </c>
      <c r="I295" s="13" t="s">
        <v>30</v>
      </c>
      <c r="J295" s="13" t="s">
        <v>162</v>
      </c>
      <c r="K295" s="13" t="s">
        <v>163</v>
      </c>
      <c r="L295" s="15">
        <v>615.6</v>
      </c>
      <c r="M295" s="13">
        <v>9</v>
      </c>
      <c r="N295" s="16">
        <v>0</v>
      </c>
      <c r="O295" s="15">
        <v>258.05</v>
      </c>
      <c r="P295" s="17">
        <f t="shared" si="4"/>
        <v>0.41918453541260559</v>
      </c>
    </row>
    <row r="296" spans="1:16" ht="15" customHeight="1" x14ac:dyDescent="0.25">
      <c r="A296" s="8" t="s">
        <v>753</v>
      </c>
      <c r="B296" s="9">
        <v>45112</v>
      </c>
      <c r="C296" s="9">
        <v>45117</v>
      </c>
      <c r="D296" s="8" t="s">
        <v>754</v>
      </c>
      <c r="E296" s="8" t="s">
        <v>755</v>
      </c>
      <c r="F296" s="8" t="s">
        <v>19</v>
      </c>
      <c r="G296" s="8" t="s">
        <v>20</v>
      </c>
      <c r="H296" s="8" t="s">
        <v>21</v>
      </c>
      <c r="I296" s="8" t="s">
        <v>30</v>
      </c>
      <c r="J296" s="8" t="s">
        <v>162</v>
      </c>
      <c r="K296" s="8" t="s">
        <v>163</v>
      </c>
      <c r="L296" s="10">
        <v>484.12</v>
      </c>
      <c r="M296" s="8">
        <v>7</v>
      </c>
      <c r="N296" s="11">
        <v>0</v>
      </c>
      <c r="O296" s="10">
        <v>198.37</v>
      </c>
      <c r="P296" s="12">
        <f t="shared" si="4"/>
        <v>0.40975378005453195</v>
      </c>
    </row>
    <row r="297" spans="1:16" ht="15" customHeight="1" x14ac:dyDescent="0.25">
      <c r="A297" s="13" t="s">
        <v>756</v>
      </c>
      <c r="B297" s="14">
        <v>44760</v>
      </c>
      <c r="C297" s="14">
        <v>44761</v>
      </c>
      <c r="D297" s="13" t="s">
        <v>757</v>
      </c>
      <c r="E297" s="13" t="s">
        <v>149</v>
      </c>
      <c r="F297" s="13" t="s">
        <v>28</v>
      </c>
      <c r="G297" s="13" t="s">
        <v>36</v>
      </c>
      <c r="H297" s="13" t="s">
        <v>232</v>
      </c>
      <c r="I297" s="13" t="s">
        <v>52</v>
      </c>
      <c r="J297" s="13" t="s">
        <v>264</v>
      </c>
      <c r="K297" s="13" t="s">
        <v>265</v>
      </c>
      <c r="L297" s="15">
        <v>329.29</v>
      </c>
      <c r="M297" s="13">
        <v>2</v>
      </c>
      <c r="N297" s="16">
        <v>0.05</v>
      </c>
      <c r="O297" s="15">
        <v>88.45</v>
      </c>
      <c r="P297" s="17">
        <f t="shared" si="4"/>
        <v>0.268608217680464</v>
      </c>
    </row>
    <row r="298" spans="1:16" ht="15" customHeight="1" x14ac:dyDescent="0.25">
      <c r="A298" s="8" t="s">
        <v>758</v>
      </c>
      <c r="B298" s="9">
        <v>44693</v>
      </c>
      <c r="C298" s="9">
        <v>44699</v>
      </c>
      <c r="D298" s="8" t="s">
        <v>759</v>
      </c>
      <c r="E298" s="8" t="s">
        <v>263</v>
      </c>
      <c r="F298" s="8" t="s">
        <v>50</v>
      </c>
      <c r="G298" s="8" t="s">
        <v>36</v>
      </c>
      <c r="H298" s="8" t="s">
        <v>232</v>
      </c>
      <c r="I298" s="8" t="s">
        <v>30</v>
      </c>
      <c r="J298" s="8" t="s">
        <v>114</v>
      </c>
      <c r="K298" s="8" t="s">
        <v>115</v>
      </c>
      <c r="L298" s="10">
        <v>65.38</v>
      </c>
      <c r="M298" s="8">
        <v>6</v>
      </c>
      <c r="N298" s="11">
        <v>0.15</v>
      </c>
      <c r="O298" s="10">
        <v>19.350000000000001</v>
      </c>
      <c r="P298" s="12">
        <f t="shared" si="4"/>
        <v>0.29596206791067609</v>
      </c>
    </row>
    <row r="299" spans="1:16" ht="15" customHeight="1" x14ac:dyDescent="0.25">
      <c r="A299" s="13" t="s">
        <v>760</v>
      </c>
      <c r="B299" s="14">
        <v>45141</v>
      </c>
      <c r="C299" s="14">
        <v>45146</v>
      </c>
      <c r="D299" s="13" t="s">
        <v>761</v>
      </c>
      <c r="E299" s="13" t="s">
        <v>402</v>
      </c>
      <c r="F299" s="13" t="s">
        <v>50</v>
      </c>
      <c r="G299" s="13" t="s">
        <v>43</v>
      </c>
      <c r="H299" s="13" t="s">
        <v>44</v>
      </c>
      <c r="I299" s="13" t="s">
        <v>22</v>
      </c>
      <c r="J299" s="13" t="s">
        <v>45</v>
      </c>
      <c r="K299" s="13" t="s">
        <v>171</v>
      </c>
      <c r="L299" s="15">
        <v>1733.12</v>
      </c>
      <c r="M299" s="13">
        <v>4</v>
      </c>
      <c r="N299" s="16">
        <v>0.2</v>
      </c>
      <c r="O299" s="15">
        <v>660.02</v>
      </c>
      <c r="P299" s="17">
        <f t="shared" si="4"/>
        <v>0.38082764032496308</v>
      </c>
    </row>
    <row r="300" spans="1:16" ht="15" customHeight="1" x14ac:dyDescent="0.25">
      <c r="A300" s="8" t="s">
        <v>762</v>
      </c>
      <c r="B300" s="9">
        <v>45053</v>
      </c>
      <c r="C300" s="9">
        <v>45057</v>
      </c>
      <c r="D300" s="8" t="s">
        <v>763</v>
      </c>
      <c r="E300" s="8" t="s">
        <v>49</v>
      </c>
      <c r="F300" s="8" t="s">
        <v>50</v>
      </c>
      <c r="G300" s="8" t="s">
        <v>58</v>
      </c>
      <c r="H300" s="8" t="s">
        <v>59</v>
      </c>
      <c r="I300" s="8" t="s">
        <v>52</v>
      </c>
      <c r="J300" s="8" t="s">
        <v>264</v>
      </c>
      <c r="K300" s="8" t="s">
        <v>281</v>
      </c>
      <c r="L300" s="10">
        <v>1436.76</v>
      </c>
      <c r="M300" s="8">
        <v>10</v>
      </c>
      <c r="N300" s="11">
        <v>0.1</v>
      </c>
      <c r="O300" s="10">
        <v>338.1</v>
      </c>
      <c r="P300" s="12">
        <f t="shared" si="4"/>
        <v>0.23532113922993403</v>
      </c>
    </row>
    <row r="301" spans="1:16" ht="15" customHeight="1" x14ac:dyDescent="0.25">
      <c r="A301" s="13" t="s">
        <v>764</v>
      </c>
      <c r="B301" s="14">
        <v>44831</v>
      </c>
      <c r="C301" s="14">
        <v>44837</v>
      </c>
      <c r="D301" s="13" t="s">
        <v>765</v>
      </c>
      <c r="E301" s="13" t="s">
        <v>157</v>
      </c>
      <c r="F301" s="13" t="s">
        <v>19</v>
      </c>
      <c r="G301" s="13" t="s">
        <v>20</v>
      </c>
      <c r="H301" s="13" t="s">
        <v>99</v>
      </c>
      <c r="I301" s="13" t="s">
        <v>30</v>
      </c>
      <c r="J301" s="13" t="s">
        <v>114</v>
      </c>
      <c r="K301" s="13" t="s">
        <v>350</v>
      </c>
      <c r="L301" s="15">
        <v>117.7</v>
      </c>
      <c r="M301" s="13">
        <v>10</v>
      </c>
      <c r="N301" s="16">
        <v>0.05</v>
      </c>
      <c r="O301" s="15">
        <v>26.3</v>
      </c>
      <c r="P301" s="17">
        <f t="shared" si="4"/>
        <v>0.22344944774851316</v>
      </c>
    </row>
    <row r="302" spans="1:16" ht="15" customHeight="1" x14ac:dyDescent="0.25">
      <c r="A302" s="8" t="s">
        <v>766</v>
      </c>
      <c r="B302" s="9">
        <v>45231</v>
      </c>
      <c r="C302" s="9">
        <v>45238</v>
      </c>
      <c r="D302" s="8" t="s">
        <v>767</v>
      </c>
      <c r="E302" s="8" t="s">
        <v>458</v>
      </c>
      <c r="F302" s="8" t="s">
        <v>50</v>
      </c>
      <c r="G302" s="8" t="s">
        <v>36</v>
      </c>
      <c r="H302" s="8" t="s">
        <v>37</v>
      </c>
      <c r="I302" s="8" t="s">
        <v>22</v>
      </c>
      <c r="J302" s="8" t="s">
        <v>76</v>
      </c>
      <c r="K302" s="8" t="s">
        <v>91</v>
      </c>
      <c r="L302" s="10">
        <v>7313.44</v>
      </c>
      <c r="M302" s="8">
        <v>8</v>
      </c>
      <c r="N302" s="11">
        <v>0</v>
      </c>
      <c r="O302" s="10">
        <v>2565.58</v>
      </c>
      <c r="P302" s="12">
        <f t="shared" si="4"/>
        <v>0.3508034522741692</v>
      </c>
    </row>
    <row r="303" spans="1:16" ht="15" customHeight="1" x14ac:dyDescent="0.25">
      <c r="A303" s="13" t="s">
        <v>768</v>
      </c>
      <c r="B303" s="14">
        <v>45190</v>
      </c>
      <c r="C303" s="14">
        <v>45196</v>
      </c>
      <c r="D303" s="13" t="s">
        <v>769</v>
      </c>
      <c r="E303" s="13" t="s">
        <v>770</v>
      </c>
      <c r="F303" s="13" t="s">
        <v>50</v>
      </c>
      <c r="G303" s="13" t="s">
        <v>36</v>
      </c>
      <c r="H303" s="13" t="s">
        <v>136</v>
      </c>
      <c r="I303" s="13" t="s">
        <v>22</v>
      </c>
      <c r="J303" s="13" t="s">
        <v>23</v>
      </c>
      <c r="K303" s="13" t="s">
        <v>24</v>
      </c>
      <c r="L303" s="15">
        <v>401.4</v>
      </c>
      <c r="M303" s="13">
        <v>10</v>
      </c>
      <c r="N303" s="16">
        <v>0</v>
      </c>
      <c r="O303" s="15">
        <v>106.78</v>
      </c>
      <c r="P303" s="17">
        <f t="shared" si="4"/>
        <v>0.26601893373193825</v>
      </c>
    </row>
    <row r="304" spans="1:16" ht="15" customHeight="1" x14ac:dyDescent="0.25">
      <c r="A304" s="8" t="s">
        <v>771</v>
      </c>
      <c r="B304" s="9">
        <v>44786</v>
      </c>
      <c r="C304" s="9">
        <v>44793</v>
      </c>
      <c r="D304" s="8" t="s">
        <v>772</v>
      </c>
      <c r="E304" s="8" t="s">
        <v>161</v>
      </c>
      <c r="F304" s="8" t="s">
        <v>19</v>
      </c>
      <c r="G304" s="8" t="s">
        <v>58</v>
      </c>
      <c r="H304" s="8" t="s">
        <v>87</v>
      </c>
      <c r="I304" s="8" t="s">
        <v>52</v>
      </c>
      <c r="J304" s="8" t="s">
        <v>82</v>
      </c>
      <c r="K304" s="8" t="s">
        <v>83</v>
      </c>
      <c r="L304" s="10">
        <v>117.38</v>
      </c>
      <c r="M304" s="8">
        <v>1</v>
      </c>
      <c r="N304" s="11">
        <v>0.15</v>
      </c>
      <c r="O304" s="10">
        <v>41.43</v>
      </c>
      <c r="P304" s="12">
        <f t="shared" si="4"/>
        <v>0.3529562105980576</v>
      </c>
    </row>
    <row r="305" spans="1:16" ht="15" customHeight="1" x14ac:dyDescent="0.25">
      <c r="A305" s="13" t="s">
        <v>773</v>
      </c>
      <c r="B305" s="14">
        <v>45226</v>
      </c>
      <c r="C305" s="14">
        <v>45229</v>
      </c>
      <c r="D305" s="13" t="s">
        <v>774</v>
      </c>
      <c r="E305" s="13" t="s">
        <v>560</v>
      </c>
      <c r="F305" s="13" t="s">
        <v>28</v>
      </c>
      <c r="G305" s="13" t="s">
        <v>20</v>
      </c>
      <c r="H305" s="13" t="s">
        <v>21</v>
      </c>
      <c r="I305" s="13" t="s">
        <v>52</v>
      </c>
      <c r="J305" s="13" t="s">
        <v>53</v>
      </c>
      <c r="K305" s="13" t="s">
        <v>199</v>
      </c>
      <c r="L305" s="15">
        <v>1775.2</v>
      </c>
      <c r="M305" s="13">
        <v>7</v>
      </c>
      <c r="N305" s="16">
        <v>0</v>
      </c>
      <c r="O305" s="15">
        <v>569.54999999999995</v>
      </c>
      <c r="P305" s="17">
        <f t="shared" si="4"/>
        <v>0.32083708877872913</v>
      </c>
    </row>
    <row r="306" spans="1:16" ht="15" customHeight="1" x14ac:dyDescent="0.25">
      <c r="A306" s="8" t="s">
        <v>775</v>
      </c>
      <c r="B306" s="9">
        <v>44923</v>
      </c>
      <c r="C306" s="9">
        <v>44930</v>
      </c>
      <c r="D306" s="8" t="s">
        <v>776</v>
      </c>
      <c r="E306" s="8" t="s">
        <v>229</v>
      </c>
      <c r="F306" s="8" t="s">
        <v>50</v>
      </c>
      <c r="G306" s="8" t="s">
        <v>43</v>
      </c>
      <c r="H306" s="8" t="s">
        <v>129</v>
      </c>
      <c r="I306" s="8" t="s">
        <v>30</v>
      </c>
      <c r="J306" s="8" t="s">
        <v>114</v>
      </c>
      <c r="K306" s="8" t="s">
        <v>350</v>
      </c>
      <c r="L306" s="10">
        <v>35.85</v>
      </c>
      <c r="M306" s="8">
        <v>3</v>
      </c>
      <c r="N306" s="11">
        <v>0.05</v>
      </c>
      <c r="O306" s="10">
        <v>15.44</v>
      </c>
      <c r="P306" s="12">
        <f t="shared" si="4"/>
        <v>0.4306834030683403</v>
      </c>
    </row>
    <row r="307" spans="1:16" ht="15" customHeight="1" x14ac:dyDescent="0.25">
      <c r="A307" s="13" t="s">
        <v>777</v>
      </c>
      <c r="B307" s="14">
        <v>44753</v>
      </c>
      <c r="C307" s="14">
        <v>44755</v>
      </c>
      <c r="D307" s="13" t="s">
        <v>778</v>
      </c>
      <c r="E307" s="13" t="s">
        <v>106</v>
      </c>
      <c r="F307" s="13" t="s">
        <v>28</v>
      </c>
      <c r="G307" s="13" t="s">
        <v>43</v>
      </c>
      <c r="H307" s="13" t="s">
        <v>95</v>
      </c>
      <c r="I307" s="13" t="s">
        <v>22</v>
      </c>
      <c r="J307" s="13" t="s">
        <v>38</v>
      </c>
      <c r="K307" s="13" t="s">
        <v>107</v>
      </c>
      <c r="L307" s="15">
        <v>477.88</v>
      </c>
      <c r="M307" s="13">
        <v>2</v>
      </c>
      <c r="N307" s="16">
        <v>0.3</v>
      </c>
      <c r="O307" s="15">
        <v>157.82</v>
      </c>
      <c r="P307" s="17">
        <f t="shared" si="4"/>
        <v>0.33025027203482044</v>
      </c>
    </row>
    <row r="308" spans="1:16" ht="15" customHeight="1" x14ac:dyDescent="0.25">
      <c r="A308" s="8" t="s">
        <v>779</v>
      </c>
      <c r="B308" s="9">
        <v>44811</v>
      </c>
      <c r="C308" s="9">
        <v>44812</v>
      </c>
      <c r="D308" s="8" t="s">
        <v>780</v>
      </c>
      <c r="E308" s="8" t="s">
        <v>106</v>
      </c>
      <c r="F308" s="8" t="s">
        <v>19</v>
      </c>
      <c r="G308" s="8" t="s">
        <v>36</v>
      </c>
      <c r="H308" s="8" t="s">
        <v>136</v>
      </c>
      <c r="I308" s="8" t="s">
        <v>30</v>
      </c>
      <c r="J308" s="8" t="s">
        <v>114</v>
      </c>
      <c r="K308" s="8" t="s">
        <v>350</v>
      </c>
      <c r="L308" s="10">
        <v>28.35</v>
      </c>
      <c r="M308" s="8">
        <v>3</v>
      </c>
      <c r="N308" s="11">
        <v>0.1</v>
      </c>
      <c r="O308" s="10">
        <v>6.22</v>
      </c>
      <c r="P308" s="12">
        <f t="shared" si="4"/>
        <v>0.21940035273368605</v>
      </c>
    </row>
    <row r="309" spans="1:16" ht="15" customHeight="1" x14ac:dyDescent="0.25">
      <c r="A309" s="13" t="s">
        <v>781</v>
      </c>
      <c r="B309" s="14">
        <v>45239</v>
      </c>
      <c r="C309" s="14">
        <v>45246</v>
      </c>
      <c r="D309" s="13" t="s">
        <v>782</v>
      </c>
      <c r="E309" s="13" t="s">
        <v>755</v>
      </c>
      <c r="F309" s="13" t="s">
        <v>19</v>
      </c>
      <c r="G309" s="13" t="s">
        <v>43</v>
      </c>
      <c r="H309" s="13" t="s">
        <v>95</v>
      </c>
      <c r="I309" s="13" t="s">
        <v>52</v>
      </c>
      <c r="J309" s="13" t="s">
        <v>153</v>
      </c>
      <c r="K309" s="13" t="s">
        <v>154</v>
      </c>
      <c r="L309" s="15">
        <v>204.91</v>
      </c>
      <c r="M309" s="13">
        <v>3</v>
      </c>
      <c r="N309" s="16">
        <v>0.2</v>
      </c>
      <c r="O309" s="15">
        <v>61.43</v>
      </c>
      <c r="P309" s="17">
        <f t="shared" si="4"/>
        <v>0.29979015177394952</v>
      </c>
    </row>
    <row r="310" spans="1:16" ht="15" customHeight="1" x14ac:dyDescent="0.25">
      <c r="A310" s="8" t="s">
        <v>783</v>
      </c>
      <c r="B310" s="9">
        <v>44733</v>
      </c>
      <c r="C310" s="9">
        <v>44739</v>
      </c>
      <c r="D310" s="8" t="s">
        <v>784</v>
      </c>
      <c r="E310" s="8" t="s">
        <v>259</v>
      </c>
      <c r="F310" s="8" t="s">
        <v>28</v>
      </c>
      <c r="G310" s="8" t="s">
        <v>43</v>
      </c>
      <c r="H310" s="8" t="s">
        <v>129</v>
      </c>
      <c r="I310" s="8" t="s">
        <v>30</v>
      </c>
      <c r="J310" s="8" t="s">
        <v>114</v>
      </c>
      <c r="K310" s="8" t="s">
        <v>115</v>
      </c>
      <c r="L310" s="10">
        <v>85.96</v>
      </c>
      <c r="M310" s="8">
        <v>7</v>
      </c>
      <c r="N310" s="11">
        <v>0</v>
      </c>
      <c r="O310" s="10">
        <v>38.33</v>
      </c>
      <c r="P310" s="12">
        <f t="shared" si="4"/>
        <v>0.44590507212657049</v>
      </c>
    </row>
    <row r="311" spans="1:16" ht="15" customHeight="1" x14ac:dyDescent="0.25">
      <c r="A311" s="13" t="s">
        <v>785</v>
      </c>
      <c r="B311" s="14">
        <v>44715</v>
      </c>
      <c r="C311" s="14">
        <v>44720</v>
      </c>
      <c r="D311" s="13" t="s">
        <v>786</v>
      </c>
      <c r="E311" s="13" t="s">
        <v>113</v>
      </c>
      <c r="F311" s="13" t="s">
        <v>50</v>
      </c>
      <c r="G311" s="13" t="s">
        <v>20</v>
      </c>
      <c r="H311" s="13" t="s">
        <v>29</v>
      </c>
      <c r="I311" s="13" t="s">
        <v>30</v>
      </c>
      <c r="J311" s="13" t="s">
        <v>114</v>
      </c>
      <c r="K311" s="13" t="s">
        <v>350</v>
      </c>
      <c r="L311" s="15">
        <v>128.34</v>
      </c>
      <c r="M311" s="13">
        <v>9</v>
      </c>
      <c r="N311" s="16">
        <v>0</v>
      </c>
      <c r="O311" s="15">
        <v>42.28</v>
      </c>
      <c r="P311" s="17">
        <f t="shared" si="4"/>
        <v>0.32943743182172353</v>
      </c>
    </row>
    <row r="312" spans="1:16" ht="15" customHeight="1" x14ac:dyDescent="0.25">
      <c r="A312" s="8" t="s">
        <v>787</v>
      </c>
      <c r="B312" s="9">
        <v>45256</v>
      </c>
      <c r="C312" s="9">
        <v>45262</v>
      </c>
      <c r="D312" s="8" t="s">
        <v>788</v>
      </c>
      <c r="E312" s="8" t="s">
        <v>184</v>
      </c>
      <c r="F312" s="8" t="s">
        <v>50</v>
      </c>
      <c r="G312" s="8" t="s">
        <v>58</v>
      </c>
      <c r="H312" s="8" t="s">
        <v>181</v>
      </c>
      <c r="I312" s="8" t="s">
        <v>22</v>
      </c>
      <c r="J312" s="8" t="s">
        <v>38</v>
      </c>
      <c r="K312" s="8" t="s">
        <v>39</v>
      </c>
      <c r="L312" s="10">
        <v>2468.48</v>
      </c>
      <c r="M312" s="8">
        <v>8</v>
      </c>
      <c r="N312" s="11">
        <v>0.2</v>
      </c>
      <c r="O312" s="10">
        <v>894.5</v>
      </c>
      <c r="P312" s="12">
        <f t="shared" si="4"/>
        <v>0.36236874513870881</v>
      </c>
    </row>
    <row r="313" spans="1:16" ht="15" customHeight="1" x14ac:dyDescent="0.25">
      <c r="A313" s="13" t="s">
        <v>789</v>
      </c>
      <c r="B313" s="14">
        <v>44822</v>
      </c>
      <c r="C313" s="14">
        <v>44826</v>
      </c>
      <c r="D313" s="13" t="s">
        <v>790</v>
      </c>
      <c r="E313" s="13" t="s">
        <v>75</v>
      </c>
      <c r="F313" s="13" t="s">
        <v>50</v>
      </c>
      <c r="G313" s="13" t="s">
        <v>36</v>
      </c>
      <c r="H313" s="13" t="s">
        <v>232</v>
      </c>
      <c r="I313" s="13" t="s">
        <v>30</v>
      </c>
      <c r="J313" s="13" t="s">
        <v>31</v>
      </c>
      <c r="K313" s="13" t="s">
        <v>65</v>
      </c>
      <c r="L313" s="15">
        <v>323.92</v>
      </c>
      <c r="M313" s="13">
        <v>4</v>
      </c>
      <c r="N313" s="16">
        <v>0</v>
      </c>
      <c r="O313" s="15">
        <v>98.96</v>
      </c>
      <c r="P313" s="17">
        <f t="shared" si="4"/>
        <v>0.30550753272412939</v>
      </c>
    </row>
    <row r="314" spans="1:16" ht="15" customHeight="1" x14ac:dyDescent="0.25">
      <c r="A314" s="8" t="s">
        <v>791</v>
      </c>
      <c r="B314" s="9">
        <v>44946</v>
      </c>
      <c r="C314" s="9">
        <v>44952</v>
      </c>
      <c r="D314" s="8" t="s">
        <v>792</v>
      </c>
      <c r="E314" s="8" t="s">
        <v>27</v>
      </c>
      <c r="F314" s="8" t="s">
        <v>50</v>
      </c>
      <c r="G314" s="8" t="s">
        <v>36</v>
      </c>
      <c r="H314" s="8" t="s">
        <v>37</v>
      </c>
      <c r="I314" s="8" t="s">
        <v>52</v>
      </c>
      <c r="J314" s="8" t="s">
        <v>264</v>
      </c>
      <c r="K314" s="8" t="s">
        <v>281</v>
      </c>
      <c r="L314" s="10">
        <v>1296.4100000000001</v>
      </c>
      <c r="M314" s="8">
        <v>7</v>
      </c>
      <c r="N314" s="11">
        <v>0.1</v>
      </c>
      <c r="O314" s="10">
        <v>498.7</v>
      </c>
      <c r="P314" s="12">
        <f t="shared" si="4"/>
        <v>0.38467768684289688</v>
      </c>
    </row>
    <row r="315" spans="1:16" ht="15" customHeight="1" x14ac:dyDescent="0.25">
      <c r="A315" s="13" t="s">
        <v>793</v>
      </c>
      <c r="B315" s="14">
        <v>45188</v>
      </c>
      <c r="C315" s="14">
        <v>45191</v>
      </c>
      <c r="D315" s="13" t="s">
        <v>794</v>
      </c>
      <c r="E315" s="13" t="s">
        <v>455</v>
      </c>
      <c r="F315" s="13" t="s">
        <v>50</v>
      </c>
      <c r="G315" s="13" t="s">
        <v>58</v>
      </c>
      <c r="H315" s="13" t="s">
        <v>87</v>
      </c>
      <c r="I315" s="13" t="s">
        <v>30</v>
      </c>
      <c r="J315" s="13" t="s">
        <v>31</v>
      </c>
      <c r="K315" s="13" t="s">
        <v>32</v>
      </c>
      <c r="L315" s="15">
        <v>439.53</v>
      </c>
      <c r="M315" s="13">
        <v>6</v>
      </c>
      <c r="N315" s="16">
        <v>0.3</v>
      </c>
      <c r="O315" s="15">
        <v>169.9</v>
      </c>
      <c r="P315" s="17">
        <f t="shared" si="4"/>
        <v>0.38654926853684624</v>
      </c>
    </row>
    <row r="316" spans="1:16" ht="15" customHeight="1" x14ac:dyDescent="0.25">
      <c r="A316" s="8" t="s">
        <v>795</v>
      </c>
      <c r="B316" s="9">
        <v>45284</v>
      </c>
      <c r="C316" s="9">
        <v>45288</v>
      </c>
      <c r="D316" s="8" t="s">
        <v>796</v>
      </c>
      <c r="E316" s="8" t="s">
        <v>359</v>
      </c>
      <c r="F316" s="8" t="s">
        <v>28</v>
      </c>
      <c r="G316" s="8" t="s">
        <v>36</v>
      </c>
      <c r="H316" s="8" t="s">
        <v>232</v>
      </c>
      <c r="I316" s="8" t="s">
        <v>22</v>
      </c>
      <c r="J316" s="8" t="s">
        <v>38</v>
      </c>
      <c r="K316" s="8" t="s">
        <v>158</v>
      </c>
      <c r="L316" s="10">
        <v>687.46</v>
      </c>
      <c r="M316" s="8">
        <v>3</v>
      </c>
      <c r="N316" s="11">
        <v>0.2</v>
      </c>
      <c r="O316" s="10">
        <v>174.26</v>
      </c>
      <c r="P316" s="12">
        <f t="shared" si="4"/>
        <v>0.2534838390597271</v>
      </c>
    </row>
    <row r="317" spans="1:16" ht="15" customHeight="1" x14ac:dyDescent="0.25">
      <c r="A317" s="13" t="s">
        <v>797</v>
      </c>
      <c r="B317" s="14">
        <v>45213</v>
      </c>
      <c r="C317" s="14">
        <v>45214</v>
      </c>
      <c r="D317" s="13" t="s">
        <v>798</v>
      </c>
      <c r="E317" s="13" t="s">
        <v>177</v>
      </c>
      <c r="F317" s="13" t="s">
        <v>50</v>
      </c>
      <c r="G317" s="13" t="s">
        <v>20</v>
      </c>
      <c r="H317" s="13" t="s">
        <v>29</v>
      </c>
      <c r="I317" s="13" t="s">
        <v>30</v>
      </c>
      <c r="J317" s="13" t="s">
        <v>31</v>
      </c>
      <c r="K317" s="13" t="s">
        <v>32</v>
      </c>
      <c r="L317" s="15">
        <v>156.4</v>
      </c>
      <c r="M317" s="13">
        <v>2</v>
      </c>
      <c r="N317" s="16">
        <v>0.15</v>
      </c>
      <c r="O317" s="15">
        <v>67.25</v>
      </c>
      <c r="P317" s="17">
        <f t="shared" si="4"/>
        <v>0.42998721227621484</v>
      </c>
    </row>
    <row r="318" spans="1:16" ht="15" customHeight="1" x14ac:dyDescent="0.25">
      <c r="A318" s="8" t="s">
        <v>799</v>
      </c>
      <c r="B318" s="9">
        <v>45190</v>
      </c>
      <c r="C318" s="9">
        <v>45196</v>
      </c>
      <c r="D318" s="8" t="s">
        <v>800</v>
      </c>
      <c r="E318" s="8" t="s">
        <v>49</v>
      </c>
      <c r="F318" s="8" t="s">
        <v>19</v>
      </c>
      <c r="G318" s="8" t="s">
        <v>43</v>
      </c>
      <c r="H318" s="8" t="s">
        <v>95</v>
      </c>
      <c r="I318" s="8" t="s">
        <v>30</v>
      </c>
      <c r="J318" s="8" t="s">
        <v>31</v>
      </c>
      <c r="K318" s="8" t="s">
        <v>65</v>
      </c>
      <c r="L318" s="10">
        <v>80.430000000000007</v>
      </c>
      <c r="M318" s="8">
        <v>1</v>
      </c>
      <c r="N318" s="11">
        <v>0.1</v>
      </c>
      <c r="O318" s="10">
        <v>32.28</v>
      </c>
      <c r="P318" s="12">
        <f t="shared" si="4"/>
        <v>0.40134278254382694</v>
      </c>
    </row>
    <row r="319" spans="1:16" ht="15" customHeight="1" x14ac:dyDescent="0.25">
      <c r="A319" s="13" t="s">
        <v>801</v>
      </c>
      <c r="B319" s="14">
        <v>45191</v>
      </c>
      <c r="C319" s="14">
        <v>45193</v>
      </c>
      <c r="D319" s="13" t="s">
        <v>802</v>
      </c>
      <c r="E319" s="13" t="s">
        <v>249</v>
      </c>
      <c r="F319" s="13" t="s">
        <v>19</v>
      </c>
      <c r="G319" s="13" t="s">
        <v>20</v>
      </c>
      <c r="H319" s="13" t="s">
        <v>21</v>
      </c>
      <c r="I319" s="13" t="s">
        <v>30</v>
      </c>
      <c r="J319" s="13" t="s">
        <v>114</v>
      </c>
      <c r="K319" s="13" t="s">
        <v>115</v>
      </c>
      <c r="L319" s="15">
        <v>24.93</v>
      </c>
      <c r="M319" s="13">
        <v>2</v>
      </c>
      <c r="N319" s="16">
        <v>0.2</v>
      </c>
      <c r="O319" s="15">
        <v>9.02</v>
      </c>
      <c r="P319" s="17">
        <f t="shared" si="4"/>
        <v>0.36181307661452067</v>
      </c>
    </row>
    <row r="320" spans="1:16" ht="15" customHeight="1" x14ac:dyDescent="0.25">
      <c r="A320" s="8" t="s">
        <v>803</v>
      </c>
      <c r="B320" s="9">
        <v>45092</v>
      </c>
      <c r="C320" s="9">
        <v>45093</v>
      </c>
      <c r="D320" s="8" t="s">
        <v>804</v>
      </c>
      <c r="E320" s="8" t="s">
        <v>113</v>
      </c>
      <c r="F320" s="8" t="s">
        <v>28</v>
      </c>
      <c r="G320" s="8" t="s">
        <v>20</v>
      </c>
      <c r="H320" s="8" t="s">
        <v>99</v>
      </c>
      <c r="I320" s="8" t="s">
        <v>52</v>
      </c>
      <c r="J320" s="8" t="s">
        <v>82</v>
      </c>
      <c r="K320" s="8" t="s">
        <v>100</v>
      </c>
      <c r="L320" s="10">
        <v>542.54</v>
      </c>
      <c r="M320" s="8">
        <v>5</v>
      </c>
      <c r="N320" s="11">
        <v>0.05</v>
      </c>
      <c r="O320" s="10">
        <v>182.46</v>
      </c>
      <c r="P320" s="12">
        <f t="shared" si="4"/>
        <v>0.3363070004055001</v>
      </c>
    </row>
    <row r="321" spans="1:16" ht="15" customHeight="1" x14ac:dyDescent="0.25">
      <c r="A321" s="13" t="s">
        <v>805</v>
      </c>
      <c r="B321" s="14">
        <v>44829</v>
      </c>
      <c r="C321" s="14">
        <v>44831</v>
      </c>
      <c r="D321" s="13" t="s">
        <v>806</v>
      </c>
      <c r="E321" s="13" t="s">
        <v>290</v>
      </c>
      <c r="F321" s="13" t="s">
        <v>28</v>
      </c>
      <c r="G321" s="13" t="s">
        <v>58</v>
      </c>
      <c r="H321" s="13" t="s">
        <v>81</v>
      </c>
      <c r="I321" s="13" t="s">
        <v>22</v>
      </c>
      <c r="J321" s="13" t="s">
        <v>76</v>
      </c>
      <c r="K321" s="13" t="s">
        <v>203</v>
      </c>
      <c r="L321" s="15">
        <v>1853.33</v>
      </c>
      <c r="M321" s="13">
        <v>2</v>
      </c>
      <c r="N321" s="16">
        <v>0.1</v>
      </c>
      <c r="O321" s="15">
        <v>428.07</v>
      </c>
      <c r="P321" s="17">
        <f t="shared" si="4"/>
        <v>0.23097343700258455</v>
      </c>
    </row>
    <row r="322" spans="1:16" ht="15" customHeight="1" x14ac:dyDescent="0.25">
      <c r="A322" s="8" t="s">
        <v>807</v>
      </c>
      <c r="B322" s="9">
        <v>45138</v>
      </c>
      <c r="C322" s="9">
        <v>45142</v>
      </c>
      <c r="D322" s="8" t="s">
        <v>808</v>
      </c>
      <c r="E322" s="8" t="s">
        <v>349</v>
      </c>
      <c r="F322" s="8" t="s">
        <v>50</v>
      </c>
      <c r="G322" s="8" t="s">
        <v>36</v>
      </c>
      <c r="H322" s="8" t="s">
        <v>37</v>
      </c>
      <c r="I322" s="8" t="s">
        <v>30</v>
      </c>
      <c r="J322" s="8" t="s">
        <v>31</v>
      </c>
      <c r="K322" s="8" t="s">
        <v>240</v>
      </c>
      <c r="L322" s="10">
        <v>91.22</v>
      </c>
      <c r="M322" s="8">
        <v>1</v>
      </c>
      <c r="N322" s="11">
        <v>0.1</v>
      </c>
      <c r="O322" s="10">
        <v>39.51</v>
      </c>
      <c r="P322" s="12">
        <f t="shared" ref="P322:P385" si="5">O322/L322</f>
        <v>0.43312869984652486</v>
      </c>
    </row>
    <row r="323" spans="1:16" ht="15" customHeight="1" x14ac:dyDescent="0.25">
      <c r="A323" s="13" t="s">
        <v>809</v>
      </c>
      <c r="B323" s="14">
        <v>44984</v>
      </c>
      <c r="C323" s="14">
        <v>44987</v>
      </c>
      <c r="D323" s="13" t="s">
        <v>810</v>
      </c>
      <c r="E323" s="13" t="s">
        <v>431</v>
      </c>
      <c r="F323" s="13" t="s">
        <v>19</v>
      </c>
      <c r="G323" s="13" t="s">
        <v>20</v>
      </c>
      <c r="H323" s="13" t="s">
        <v>21</v>
      </c>
      <c r="I323" s="13" t="s">
        <v>52</v>
      </c>
      <c r="J323" s="13" t="s">
        <v>264</v>
      </c>
      <c r="K323" s="13" t="s">
        <v>265</v>
      </c>
      <c r="L323" s="15">
        <v>954.96</v>
      </c>
      <c r="M323" s="13">
        <v>6</v>
      </c>
      <c r="N323" s="16">
        <v>0</v>
      </c>
      <c r="O323" s="15">
        <v>315.95999999999998</v>
      </c>
      <c r="P323" s="17">
        <f t="shared" si="5"/>
        <v>0.3308620256345815</v>
      </c>
    </row>
    <row r="324" spans="1:16" ht="15" customHeight="1" x14ac:dyDescent="0.25">
      <c r="A324" s="8" t="s">
        <v>811</v>
      </c>
      <c r="B324" s="9">
        <v>44749</v>
      </c>
      <c r="C324" s="9">
        <v>44755</v>
      </c>
      <c r="D324" s="8" t="s">
        <v>812</v>
      </c>
      <c r="E324" s="8" t="s">
        <v>455</v>
      </c>
      <c r="F324" s="8" t="s">
        <v>28</v>
      </c>
      <c r="G324" s="8" t="s">
        <v>36</v>
      </c>
      <c r="H324" s="8" t="s">
        <v>174</v>
      </c>
      <c r="I324" s="8" t="s">
        <v>22</v>
      </c>
      <c r="J324" s="8" t="s">
        <v>23</v>
      </c>
      <c r="K324" s="8" t="s">
        <v>24</v>
      </c>
      <c r="L324" s="10">
        <v>165.3</v>
      </c>
      <c r="M324" s="8">
        <v>4</v>
      </c>
      <c r="N324" s="11">
        <v>0.05</v>
      </c>
      <c r="O324" s="10">
        <v>64.91</v>
      </c>
      <c r="P324" s="12">
        <f t="shared" si="5"/>
        <v>0.39267997580157282</v>
      </c>
    </row>
    <row r="325" spans="1:16" ht="15" customHeight="1" x14ac:dyDescent="0.25">
      <c r="A325" s="13" t="s">
        <v>813</v>
      </c>
      <c r="B325" s="14">
        <v>44721</v>
      </c>
      <c r="C325" s="14">
        <v>44728</v>
      </c>
      <c r="D325" s="13" t="s">
        <v>814</v>
      </c>
      <c r="E325" s="13" t="s">
        <v>455</v>
      </c>
      <c r="F325" s="13" t="s">
        <v>19</v>
      </c>
      <c r="G325" s="13" t="s">
        <v>20</v>
      </c>
      <c r="H325" s="13" t="s">
        <v>99</v>
      </c>
      <c r="I325" s="13" t="s">
        <v>30</v>
      </c>
      <c r="J325" s="13" t="s">
        <v>31</v>
      </c>
      <c r="K325" s="13" t="s">
        <v>240</v>
      </c>
      <c r="L325" s="15">
        <v>113.42</v>
      </c>
      <c r="M325" s="13">
        <v>1</v>
      </c>
      <c r="N325" s="16">
        <v>0</v>
      </c>
      <c r="O325" s="15">
        <v>26.99</v>
      </c>
      <c r="P325" s="17">
        <f t="shared" si="5"/>
        <v>0.23796508552283546</v>
      </c>
    </row>
    <row r="326" spans="1:16" ht="15" customHeight="1" x14ac:dyDescent="0.25">
      <c r="A326" s="8" t="s">
        <v>815</v>
      </c>
      <c r="B326" s="9">
        <v>45066</v>
      </c>
      <c r="C326" s="9">
        <v>45071</v>
      </c>
      <c r="D326" s="8" t="s">
        <v>816</v>
      </c>
      <c r="E326" s="8" t="s">
        <v>180</v>
      </c>
      <c r="F326" s="8" t="s">
        <v>19</v>
      </c>
      <c r="G326" s="8" t="s">
        <v>43</v>
      </c>
      <c r="H326" s="8" t="s">
        <v>129</v>
      </c>
      <c r="I326" s="8" t="s">
        <v>30</v>
      </c>
      <c r="J326" s="8" t="s">
        <v>162</v>
      </c>
      <c r="K326" s="8" t="s">
        <v>305</v>
      </c>
      <c r="L326" s="10">
        <v>261.27999999999997</v>
      </c>
      <c r="M326" s="8">
        <v>4</v>
      </c>
      <c r="N326" s="11">
        <v>0</v>
      </c>
      <c r="O326" s="10">
        <v>114.04</v>
      </c>
      <c r="P326" s="12">
        <f t="shared" si="5"/>
        <v>0.43646662584200863</v>
      </c>
    </row>
    <row r="327" spans="1:16" ht="15" customHeight="1" x14ac:dyDescent="0.25">
      <c r="A327" s="13" t="s">
        <v>817</v>
      </c>
      <c r="B327" s="14">
        <v>45076</v>
      </c>
      <c r="C327" s="14">
        <v>45079</v>
      </c>
      <c r="D327" s="13" t="s">
        <v>818</v>
      </c>
      <c r="E327" s="13" t="s">
        <v>149</v>
      </c>
      <c r="F327" s="13" t="s">
        <v>50</v>
      </c>
      <c r="G327" s="13" t="s">
        <v>58</v>
      </c>
      <c r="H327" s="13" t="s">
        <v>87</v>
      </c>
      <c r="I327" s="13" t="s">
        <v>22</v>
      </c>
      <c r="J327" s="13" t="s">
        <v>38</v>
      </c>
      <c r="K327" s="13" t="s">
        <v>107</v>
      </c>
      <c r="L327" s="15">
        <v>260.01</v>
      </c>
      <c r="M327" s="13">
        <v>1</v>
      </c>
      <c r="N327" s="16">
        <v>0.05</v>
      </c>
      <c r="O327" s="15">
        <v>92.34</v>
      </c>
      <c r="P327" s="17">
        <f t="shared" si="5"/>
        <v>0.35514018691588789</v>
      </c>
    </row>
    <row r="328" spans="1:16" ht="15" customHeight="1" x14ac:dyDescent="0.25">
      <c r="A328" s="8" t="s">
        <v>819</v>
      </c>
      <c r="B328" s="9">
        <v>45189</v>
      </c>
      <c r="C328" s="9">
        <v>45196</v>
      </c>
      <c r="D328" s="8" t="s">
        <v>820</v>
      </c>
      <c r="E328" s="8" t="s">
        <v>249</v>
      </c>
      <c r="F328" s="8" t="s">
        <v>28</v>
      </c>
      <c r="G328" s="8" t="s">
        <v>43</v>
      </c>
      <c r="H328" s="8" t="s">
        <v>51</v>
      </c>
      <c r="I328" s="8" t="s">
        <v>52</v>
      </c>
      <c r="J328" s="8" t="s">
        <v>53</v>
      </c>
      <c r="K328" s="8" t="s">
        <v>199</v>
      </c>
      <c r="L328" s="10">
        <v>2178.2399999999998</v>
      </c>
      <c r="M328" s="8">
        <v>8</v>
      </c>
      <c r="N328" s="11">
        <v>0.15</v>
      </c>
      <c r="O328" s="10">
        <v>780.94</v>
      </c>
      <c r="P328" s="12">
        <f t="shared" si="5"/>
        <v>0.35851880417217574</v>
      </c>
    </row>
    <row r="329" spans="1:16" ht="15" customHeight="1" x14ac:dyDescent="0.25">
      <c r="A329" s="13" t="s">
        <v>821</v>
      </c>
      <c r="B329" s="14">
        <v>44991</v>
      </c>
      <c r="C329" s="14">
        <v>44997</v>
      </c>
      <c r="D329" s="13" t="s">
        <v>822</v>
      </c>
      <c r="E329" s="13" t="s">
        <v>560</v>
      </c>
      <c r="F329" s="13" t="s">
        <v>50</v>
      </c>
      <c r="G329" s="13" t="s">
        <v>43</v>
      </c>
      <c r="H329" s="13" t="s">
        <v>44</v>
      </c>
      <c r="I329" s="13" t="s">
        <v>52</v>
      </c>
      <c r="J329" s="13" t="s">
        <v>153</v>
      </c>
      <c r="K329" s="13" t="s">
        <v>221</v>
      </c>
      <c r="L329" s="15">
        <v>777.19</v>
      </c>
      <c r="M329" s="13">
        <v>10</v>
      </c>
      <c r="N329" s="16">
        <v>0.05</v>
      </c>
      <c r="O329" s="15">
        <v>191.54</v>
      </c>
      <c r="P329" s="17">
        <f t="shared" si="5"/>
        <v>0.24645196155380278</v>
      </c>
    </row>
    <row r="330" spans="1:16" ht="15" customHeight="1" x14ac:dyDescent="0.25">
      <c r="A330" s="8" t="s">
        <v>823</v>
      </c>
      <c r="B330" s="9">
        <v>44952</v>
      </c>
      <c r="C330" s="9">
        <v>44954</v>
      </c>
      <c r="D330" s="8" t="s">
        <v>824</v>
      </c>
      <c r="E330" s="8" t="s">
        <v>235</v>
      </c>
      <c r="F330" s="8" t="s">
        <v>50</v>
      </c>
      <c r="G330" s="8" t="s">
        <v>36</v>
      </c>
      <c r="H330" s="8" t="s">
        <v>136</v>
      </c>
      <c r="I330" s="8" t="s">
        <v>22</v>
      </c>
      <c r="J330" s="8" t="s">
        <v>23</v>
      </c>
      <c r="K330" s="8" t="s">
        <v>125</v>
      </c>
      <c r="L330" s="10">
        <v>216.72</v>
      </c>
      <c r="M330" s="8">
        <v>8</v>
      </c>
      <c r="N330" s="11">
        <v>0.15</v>
      </c>
      <c r="O330" s="10">
        <v>54.97</v>
      </c>
      <c r="P330" s="12">
        <f t="shared" si="5"/>
        <v>0.2536452565522333</v>
      </c>
    </row>
    <row r="331" spans="1:16" ht="15" customHeight="1" x14ac:dyDescent="0.25">
      <c r="A331" s="13" t="s">
        <v>825</v>
      </c>
      <c r="B331" s="14">
        <v>44969</v>
      </c>
      <c r="C331" s="14">
        <v>44970</v>
      </c>
      <c r="D331" s="13" t="s">
        <v>826</v>
      </c>
      <c r="E331" s="13" t="s">
        <v>617</v>
      </c>
      <c r="F331" s="13" t="s">
        <v>19</v>
      </c>
      <c r="G331" s="13" t="s">
        <v>36</v>
      </c>
      <c r="H331" s="13" t="s">
        <v>232</v>
      </c>
      <c r="I331" s="13" t="s">
        <v>52</v>
      </c>
      <c r="J331" s="13" t="s">
        <v>153</v>
      </c>
      <c r="K331" s="13" t="s">
        <v>411</v>
      </c>
      <c r="L331" s="15">
        <v>161.02000000000001</v>
      </c>
      <c r="M331" s="13">
        <v>2</v>
      </c>
      <c r="N331" s="16">
        <v>0.15</v>
      </c>
      <c r="O331" s="15">
        <v>62</v>
      </c>
      <c r="P331" s="17">
        <f t="shared" si="5"/>
        <v>0.38504533598310764</v>
      </c>
    </row>
    <row r="332" spans="1:16" ht="15" customHeight="1" x14ac:dyDescent="0.25">
      <c r="A332" s="8" t="s">
        <v>827</v>
      </c>
      <c r="B332" s="9">
        <v>44914</v>
      </c>
      <c r="C332" s="9">
        <v>44915</v>
      </c>
      <c r="D332" s="8" t="s">
        <v>828</v>
      </c>
      <c r="E332" s="8" t="s">
        <v>149</v>
      </c>
      <c r="F332" s="8" t="s">
        <v>50</v>
      </c>
      <c r="G332" s="8" t="s">
        <v>58</v>
      </c>
      <c r="H332" s="8" t="s">
        <v>81</v>
      </c>
      <c r="I332" s="8" t="s">
        <v>30</v>
      </c>
      <c r="J332" s="8" t="s">
        <v>60</v>
      </c>
      <c r="K332" s="8" t="s">
        <v>61</v>
      </c>
      <c r="L332" s="10">
        <v>205.6</v>
      </c>
      <c r="M332" s="8">
        <v>10</v>
      </c>
      <c r="N332" s="11">
        <v>0</v>
      </c>
      <c r="O332" s="10">
        <v>42.18</v>
      </c>
      <c r="P332" s="12">
        <f t="shared" si="5"/>
        <v>0.2051556420233463</v>
      </c>
    </row>
    <row r="333" spans="1:16" ht="15" customHeight="1" x14ac:dyDescent="0.25">
      <c r="A333" s="13" t="s">
        <v>829</v>
      </c>
      <c r="B333" s="14">
        <v>45251</v>
      </c>
      <c r="C333" s="14">
        <v>45256</v>
      </c>
      <c r="D333" s="13" t="s">
        <v>830</v>
      </c>
      <c r="E333" s="13" t="s">
        <v>368</v>
      </c>
      <c r="F333" s="13" t="s">
        <v>19</v>
      </c>
      <c r="G333" s="13" t="s">
        <v>58</v>
      </c>
      <c r="H333" s="13" t="s">
        <v>181</v>
      </c>
      <c r="I333" s="13" t="s">
        <v>52</v>
      </c>
      <c r="J333" s="13" t="s">
        <v>82</v>
      </c>
      <c r="K333" s="13" t="s">
        <v>100</v>
      </c>
      <c r="L333" s="15">
        <v>379.67</v>
      </c>
      <c r="M333" s="13">
        <v>3</v>
      </c>
      <c r="N333" s="16">
        <v>0.15</v>
      </c>
      <c r="O333" s="15">
        <v>130.81</v>
      </c>
      <c r="P333" s="17">
        <f t="shared" si="5"/>
        <v>0.34453604445966235</v>
      </c>
    </row>
    <row r="334" spans="1:16" ht="15" customHeight="1" x14ac:dyDescent="0.25">
      <c r="A334" s="8" t="s">
        <v>831</v>
      </c>
      <c r="B334" s="9">
        <v>44727</v>
      </c>
      <c r="C334" s="9">
        <v>44730</v>
      </c>
      <c r="D334" s="8" t="s">
        <v>832</v>
      </c>
      <c r="E334" s="8" t="s">
        <v>86</v>
      </c>
      <c r="F334" s="8" t="s">
        <v>50</v>
      </c>
      <c r="G334" s="8" t="s">
        <v>36</v>
      </c>
      <c r="H334" s="8" t="s">
        <v>37</v>
      </c>
      <c r="I334" s="8" t="s">
        <v>30</v>
      </c>
      <c r="J334" s="8" t="s">
        <v>162</v>
      </c>
      <c r="K334" s="8" t="s">
        <v>284</v>
      </c>
      <c r="L334" s="10">
        <v>246.92</v>
      </c>
      <c r="M334" s="8">
        <v>5</v>
      </c>
      <c r="N334" s="11">
        <v>0.2</v>
      </c>
      <c r="O334" s="10">
        <v>94.37</v>
      </c>
      <c r="P334" s="12">
        <f t="shared" si="5"/>
        <v>0.38218856309735949</v>
      </c>
    </row>
    <row r="335" spans="1:16" ht="15" customHeight="1" x14ac:dyDescent="0.25">
      <c r="A335" s="13" t="s">
        <v>833</v>
      </c>
      <c r="B335" s="14">
        <v>44985</v>
      </c>
      <c r="C335" s="14">
        <v>44987</v>
      </c>
      <c r="D335" s="13" t="s">
        <v>834</v>
      </c>
      <c r="E335" s="13" t="s">
        <v>368</v>
      </c>
      <c r="F335" s="13" t="s">
        <v>19</v>
      </c>
      <c r="G335" s="13" t="s">
        <v>36</v>
      </c>
      <c r="H335" s="13" t="s">
        <v>232</v>
      </c>
      <c r="I335" s="13" t="s">
        <v>30</v>
      </c>
      <c r="J335" s="13" t="s">
        <v>60</v>
      </c>
      <c r="K335" s="13" t="s">
        <v>61</v>
      </c>
      <c r="L335" s="15">
        <v>114.6</v>
      </c>
      <c r="M335" s="13">
        <v>5</v>
      </c>
      <c r="N335" s="16">
        <v>0</v>
      </c>
      <c r="O335" s="15">
        <v>45.54</v>
      </c>
      <c r="P335" s="17">
        <f t="shared" si="5"/>
        <v>0.39738219895287957</v>
      </c>
    </row>
    <row r="336" spans="1:16" ht="15" customHeight="1" x14ac:dyDescent="0.25">
      <c r="A336" s="8" t="s">
        <v>835</v>
      </c>
      <c r="B336" s="9">
        <v>44627</v>
      </c>
      <c r="C336" s="9">
        <v>44631</v>
      </c>
      <c r="D336" s="8" t="s">
        <v>836</v>
      </c>
      <c r="E336" s="8" t="s">
        <v>273</v>
      </c>
      <c r="F336" s="8" t="s">
        <v>50</v>
      </c>
      <c r="G336" s="8" t="s">
        <v>20</v>
      </c>
      <c r="H336" s="8" t="s">
        <v>99</v>
      </c>
      <c r="I336" s="8" t="s">
        <v>30</v>
      </c>
      <c r="J336" s="8" t="s">
        <v>114</v>
      </c>
      <c r="K336" s="8" t="s">
        <v>115</v>
      </c>
      <c r="L336" s="10">
        <v>67.7</v>
      </c>
      <c r="M336" s="8">
        <v>5</v>
      </c>
      <c r="N336" s="11">
        <v>0</v>
      </c>
      <c r="O336" s="10">
        <v>19.38</v>
      </c>
      <c r="P336" s="12">
        <f t="shared" si="5"/>
        <v>0.28626292466765135</v>
      </c>
    </row>
    <row r="337" spans="1:16" ht="15" customHeight="1" x14ac:dyDescent="0.25">
      <c r="A337" s="13" t="s">
        <v>837</v>
      </c>
      <c r="B337" s="14">
        <v>44815</v>
      </c>
      <c r="C337" s="14">
        <v>44821</v>
      </c>
      <c r="D337" s="13" t="s">
        <v>838</v>
      </c>
      <c r="E337" s="13" t="s">
        <v>198</v>
      </c>
      <c r="F337" s="13" t="s">
        <v>28</v>
      </c>
      <c r="G337" s="13" t="s">
        <v>43</v>
      </c>
      <c r="H337" s="13" t="s">
        <v>129</v>
      </c>
      <c r="I337" s="13" t="s">
        <v>22</v>
      </c>
      <c r="J337" s="13" t="s">
        <v>23</v>
      </c>
      <c r="K337" s="13" t="s">
        <v>24</v>
      </c>
      <c r="L337" s="15">
        <v>77.010000000000005</v>
      </c>
      <c r="M337" s="13">
        <v>3</v>
      </c>
      <c r="N337" s="16">
        <v>0.15</v>
      </c>
      <c r="O337" s="15">
        <v>18.09</v>
      </c>
      <c r="P337" s="17">
        <f t="shared" si="5"/>
        <v>0.23490455784962991</v>
      </c>
    </row>
    <row r="338" spans="1:16" ht="15" customHeight="1" x14ac:dyDescent="0.25">
      <c r="A338" s="8" t="s">
        <v>839</v>
      </c>
      <c r="B338" s="9">
        <v>45115</v>
      </c>
      <c r="C338" s="9">
        <v>45118</v>
      </c>
      <c r="D338" s="8" t="s">
        <v>840</v>
      </c>
      <c r="E338" s="8" t="s">
        <v>132</v>
      </c>
      <c r="F338" s="8" t="s">
        <v>28</v>
      </c>
      <c r="G338" s="8" t="s">
        <v>58</v>
      </c>
      <c r="H338" s="8" t="s">
        <v>87</v>
      </c>
      <c r="I338" s="8" t="s">
        <v>30</v>
      </c>
      <c r="J338" s="8" t="s">
        <v>60</v>
      </c>
      <c r="K338" s="8" t="s">
        <v>61</v>
      </c>
      <c r="L338" s="10">
        <v>152</v>
      </c>
      <c r="M338" s="8">
        <v>10</v>
      </c>
      <c r="N338" s="11">
        <v>0.2</v>
      </c>
      <c r="O338" s="10">
        <v>48.51</v>
      </c>
      <c r="P338" s="12">
        <f t="shared" si="5"/>
        <v>0.31914473684210526</v>
      </c>
    </row>
    <row r="339" spans="1:16" ht="15" customHeight="1" x14ac:dyDescent="0.25">
      <c r="A339" s="13" t="s">
        <v>841</v>
      </c>
      <c r="B339" s="14">
        <v>45055</v>
      </c>
      <c r="C339" s="14">
        <v>45060</v>
      </c>
      <c r="D339" s="13" t="s">
        <v>842</v>
      </c>
      <c r="E339" s="13" t="s">
        <v>319</v>
      </c>
      <c r="F339" s="13" t="s">
        <v>50</v>
      </c>
      <c r="G339" s="13" t="s">
        <v>36</v>
      </c>
      <c r="H339" s="13" t="s">
        <v>232</v>
      </c>
      <c r="I339" s="13" t="s">
        <v>52</v>
      </c>
      <c r="J339" s="13" t="s">
        <v>82</v>
      </c>
      <c r="K339" s="13" t="s">
        <v>100</v>
      </c>
      <c r="L339" s="15">
        <v>552.04999999999995</v>
      </c>
      <c r="M339" s="13">
        <v>5</v>
      </c>
      <c r="N339" s="16">
        <v>0</v>
      </c>
      <c r="O339" s="15">
        <v>248.41</v>
      </c>
      <c r="P339" s="17">
        <f t="shared" si="5"/>
        <v>0.449977357123449</v>
      </c>
    </row>
    <row r="340" spans="1:16" ht="15" customHeight="1" x14ac:dyDescent="0.25">
      <c r="A340" s="8" t="s">
        <v>843</v>
      </c>
      <c r="B340" s="9">
        <v>45042</v>
      </c>
      <c r="C340" s="9">
        <v>45047</v>
      </c>
      <c r="D340" s="8" t="s">
        <v>844</v>
      </c>
      <c r="E340" s="8" t="s">
        <v>177</v>
      </c>
      <c r="F340" s="8" t="s">
        <v>50</v>
      </c>
      <c r="G340" s="8" t="s">
        <v>20</v>
      </c>
      <c r="H340" s="8" t="s">
        <v>167</v>
      </c>
      <c r="I340" s="8" t="s">
        <v>52</v>
      </c>
      <c r="J340" s="8" t="s">
        <v>264</v>
      </c>
      <c r="K340" s="8" t="s">
        <v>265</v>
      </c>
      <c r="L340" s="10">
        <v>1006.8</v>
      </c>
      <c r="M340" s="8">
        <v>5</v>
      </c>
      <c r="N340" s="11">
        <v>0</v>
      </c>
      <c r="O340" s="10">
        <v>315.07</v>
      </c>
      <c r="P340" s="12">
        <f t="shared" si="5"/>
        <v>0.31294199443782283</v>
      </c>
    </row>
    <row r="341" spans="1:16" ht="15" customHeight="1" x14ac:dyDescent="0.25">
      <c r="A341" s="13" t="s">
        <v>845</v>
      </c>
      <c r="B341" s="14">
        <v>44966</v>
      </c>
      <c r="C341" s="14">
        <v>44968</v>
      </c>
      <c r="D341" s="13" t="s">
        <v>846</v>
      </c>
      <c r="E341" s="13" t="s">
        <v>64</v>
      </c>
      <c r="F341" s="13" t="s">
        <v>50</v>
      </c>
      <c r="G341" s="13" t="s">
        <v>36</v>
      </c>
      <c r="H341" s="13" t="s">
        <v>174</v>
      </c>
      <c r="I341" s="13" t="s">
        <v>22</v>
      </c>
      <c r="J341" s="13" t="s">
        <v>76</v>
      </c>
      <c r="K341" s="13" t="s">
        <v>91</v>
      </c>
      <c r="L341" s="15">
        <v>6058.65</v>
      </c>
      <c r="M341" s="13">
        <v>7</v>
      </c>
      <c r="N341" s="16">
        <v>0.1</v>
      </c>
      <c r="O341" s="15">
        <v>2295.1999999999998</v>
      </c>
      <c r="P341" s="17">
        <f t="shared" si="5"/>
        <v>0.37883026746882553</v>
      </c>
    </row>
    <row r="342" spans="1:16" ht="15" customHeight="1" x14ac:dyDescent="0.25">
      <c r="A342" s="8" t="s">
        <v>847</v>
      </c>
      <c r="B342" s="9">
        <v>44754</v>
      </c>
      <c r="C342" s="9">
        <v>44761</v>
      </c>
      <c r="D342" s="8" t="s">
        <v>848</v>
      </c>
      <c r="E342" s="8" t="s">
        <v>349</v>
      </c>
      <c r="F342" s="8" t="s">
        <v>19</v>
      </c>
      <c r="G342" s="8" t="s">
        <v>20</v>
      </c>
      <c r="H342" s="8" t="s">
        <v>29</v>
      </c>
      <c r="I342" s="8" t="s">
        <v>52</v>
      </c>
      <c r="J342" s="8" t="s">
        <v>264</v>
      </c>
      <c r="K342" s="8" t="s">
        <v>344</v>
      </c>
      <c r="L342" s="10">
        <v>1461.89</v>
      </c>
      <c r="M342" s="8">
        <v>8</v>
      </c>
      <c r="N342" s="11">
        <v>0.1</v>
      </c>
      <c r="O342" s="10">
        <v>401.85</v>
      </c>
      <c r="P342" s="12">
        <f t="shared" si="5"/>
        <v>0.27488388319230583</v>
      </c>
    </row>
    <row r="343" spans="1:16" ht="15" customHeight="1" x14ac:dyDescent="0.25">
      <c r="A343" s="13" t="s">
        <v>849</v>
      </c>
      <c r="B343" s="14">
        <v>44581</v>
      </c>
      <c r="C343" s="14">
        <v>44583</v>
      </c>
      <c r="D343" s="13" t="s">
        <v>850</v>
      </c>
      <c r="E343" s="13" t="s">
        <v>118</v>
      </c>
      <c r="F343" s="13" t="s">
        <v>19</v>
      </c>
      <c r="G343" s="13" t="s">
        <v>20</v>
      </c>
      <c r="H343" s="13" t="s">
        <v>99</v>
      </c>
      <c r="I343" s="13" t="s">
        <v>22</v>
      </c>
      <c r="J343" s="13" t="s">
        <v>76</v>
      </c>
      <c r="K343" s="13" t="s">
        <v>203</v>
      </c>
      <c r="L343" s="15">
        <v>2988.18</v>
      </c>
      <c r="M343" s="13">
        <v>3</v>
      </c>
      <c r="N343" s="16">
        <v>0</v>
      </c>
      <c r="O343" s="15">
        <v>1170.76</v>
      </c>
      <c r="P343" s="17">
        <f t="shared" si="5"/>
        <v>0.39179701356678648</v>
      </c>
    </row>
    <row r="344" spans="1:16" ht="15" customHeight="1" x14ac:dyDescent="0.25">
      <c r="A344" s="8" t="s">
        <v>851</v>
      </c>
      <c r="B344" s="9">
        <v>44784</v>
      </c>
      <c r="C344" s="9">
        <v>44787</v>
      </c>
      <c r="D344" s="8" t="s">
        <v>852</v>
      </c>
      <c r="E344" s="8" t="s">
        <v>256</v>
      </c>
      <c r="F344" s="8" t="s">
        <v>50</v>
      </c>
      <c r="G344" s="8" t="s">
        <v>58</v>
      </c>
      <c r="H344" s="8" t="s">
        <v>59</v>
      </c>
      <c r="I344" s="8" t="s">
        <v>52</v>
      </c>
      <c r="J344" s="8" t="s">
        <v>153</v>
      </c>
      <c r="K344" s="8" t="s">
        <v>411</v>
      </c>
      <c r="L344" s="10">
        <v>89.88</v>
      </c>
      <c r="M344" s="8">
        <v>1</v>
      </c>
      <c r="N344" s="11">
        <v>0</v>
      </c>
      <c r="O344" s="10">
        <v>39.19</v>
      </c>
      <c r="P344" s="12">
        <f t="shared" si="5"/>
        <v>0.43602581219403647</v>
      </c>
    </row>
    <row r="345" spans="1:16" ht="15" customHeight="1" x14ac:dyDescent="0.25">
      <c r="A345" s="13" t="s">
        <v>853</v>
      </c>
      <c r="B345" s="14">
        <v>44747</v>
      </c>
      <c r="C345" s="14">
        <v>44749</v>
      </c>
      <c r="D345" s="13" t="s">
        <v>854</v>
      </c>
      <c r="E345" s="13" t="s">
        <v>49</v>
      </c>
      <c r="F345" s="13" t="s">
        <v>19</v>
      </c>
      <c r="G345" s="13" t="s">
        <v>43</v>
      </c>
      <c r="H345" s="13" t="s">
        <v>129</v>
      </c>
      <c r="I345" s="13" t="s">
        <v>22</v>
      </c>
      <c r="J345" s="13" t="s">
        <v>23</v>
      </c>
      <c r="K345" s="13" t="s">
        <v>125</v>
      </c>
      <c r="L345" s="15">
        <v>269.12</v>
      </c>
      <c r="M345" s="13">
        <v>8</v>
      </c>
      <c r="N345" s="16">
        <v>0</v>
      </c>
      <c r="O345" s="15">
        <v>107.7</v>
      </c>
      <c r="P345" s="17">
        <f t="shared" si="5"/>
        <v>0.40019322235434007</v>
      </c>
    </row>
    <row r="346" spans="1:16" ht="15" customHeight="1" x14ac:dyDescent="0.25">
      <c r="A346" s="8" t="s">
        <v>855</v>
      </c>
      <c r="B346" s="9">
        <v>45046</v>
      </c>
      <c r="C346" s="9">
        <v>45050</v>
      </c>
      <c r="D346" s="8" t="s">
        <v>856</v>
      </c>
      <c r="E346" s="8" t="s">
        <v>349</v>
      </c>
      <c r="F346" s="8" t="s">
        <v>19</v>
      </c>
      <c r="G346" s="8" t="s">
        <v>43</v>
      </c>
      <c r="H346" s="8" t="s">
        <v>44</v>
      </c>
      <c r="I346" s="8" t="s">
        <v>30</v>
      </c>
      <c r="J346" s="8" t="s">
        <v>114</v>
      </c>
      <c r="K346" s="8" t="s">
        <v>350</v>
      </c>
      <c r="L346" s="10">
        <v>105.38</v>
      </c>
      <c r="M346" s="8">
        <v>9</v>
      </c>
      <c r="N346" s="11">
        <v>0.1</v>
      </c>
      <c r="O346" s="10">
        <v>34.74</v>
      </c>
      <c r="P346" s="12">
        <f t="shared" si="5"/>
        <v>0.32966407287910421</v>
      </c>
    </row>
    <row r="347" spans="1:16" ht="15" customHeight="1" x14ac:dyDescent="0.25">
      <c r="A347" s="13" t="s">
        <v>857</v>
      </c>
      <c r="B347" s="14">
        <v>44615</v>
      </c>
      <c r="C347" s="14">
        <v>44622</v>
      </c>
      <c r="D347" s="13" t="s">
        <v>858</v>
      </c>
      <c r="E347" s="13" t="s">
        <v>362</v>
      </c>
      <c r="F347" s="13" t="s">
        <v>19</v>
      </c>
      <c r="G347" s="13" t="s">
        <v>36</v>
      </c>
      <c r="H347" s="13" t="s">
        <v>232</v>
      </c>
      <c r="I347" s="13" t="s">
        <v>30</v>
      </c>
      <c r="J347" s="13" t="s">
        <v>31</v>
      </c>
      <c r="K347" s="13" t="s">
        <v>65</v>
      </c>
      <c r="L347" s="15">
        <v>79.11</v>
      </c>
      <c r="M347" s="13">
        <v>1</v>
      </c>
      <c r="N347" s="16">
        <v>0.1</v>
      </c>
      <c r="O347" s="15">
        <v>24.04</v>
      </c>
      <c r="P347" s="17">
        <f t="shared" si="5"/>
        <v>0.30388067248135509</v>
      </c>
    </row>
    <row r="348" spans="1:16" ht="15" customHeight="1" x14ac:dyDescent="0.25">
      <c r="A348" s="8" t="s">
        <v>859</v>
      </c>
      <c r="B348" s="9">
        <v>44605</v>
      </c>
      <c r="C348" s="9">
        <v>44610</v>
      </c>
      <c r="D348" s="8" t="s">
        <v>860</v>
      </c>
      <c r="E348" s="8" t="s">
        <v>110</v>
      </c>
      <c r="F348" s="8" t="s">
        <v>50</v>
      </c>
      <c r="G348" s="8" t="s">
        <v>58</v>
      </c>
      <c r="H348" s="8" t="s">
        <v>87</v>
      </c>
      <c r="I348" s="8" t="s">
        <v>22</v>
      </c>
      <c r="J348" s="8" t="s">
        <v>23</v>
      </c>
      <c r="K348" s="8" t="s">
        <v>143</v>
      </c>
      <c r="L348" s="10">
        <v>212.09</v>
      </c>
      <c r="M348" s="8">
        <v>8</v>
      </c>
      <c r="N348" s="11">
        <v>0.15</v>
      </c>
      <c r="O348" s="10">
        <v>46.08</v>
      </c>
      <c r="P348" s="12">
        <f t="shared" si="5"/>
        <v>0.21726625489179122</v>
      </c>
    </row>
    <row r="349" spans="1:16" ht="15" customHeight="1" x14ac:dyDescent="0.25">
      <c r="A349" s="13" t="s">
        <v>861</v>
      </c>
      <c r="B349" s="14">
        <v>45222</v>
      </c>
      <c r="C349" s="14">
        <v>45224</v>
      </c>
      <c r="D349" s="13" t="s">
        <v>862</v>
      </c>
      <c r="E349" s="13" t="s">
        <v>27</v>
      </c>
      <c r="F349" s="13" t="s">
        <v>50</v>
      </c>
      <c r="G349" s="13" t="s">
        <v>20</v>
      </c>
      <c r="H349" s="13" t="s">
        <v>29</v>
      </c>
      <c r="I349" s="13" t="s">
        <v>22</v>
      </c>
      <c r="J349" s="13" t="s">
        <v>76</v>
      </c>
      <c r="K349" s="13" t="s">
        <v>77</v>
      </c>
      <c r="L349" s="15">
        <v>4328.5600000000004</v>
      </c>
      <c r="M349" s="13">
        <v>6</v>
      </c>
      <c r="N349" s="16">
        <v>0.3</v>
      </c>
      <c r="O349" s="15">
        <v>1154.44</v>
      </c>
      <c r="P349" s="17">
        <f t="shared" si="5"/>
        <v>0.26670301439739774</v>
      </c>
    </row>
    <row r="350" spans="1:16" ht="15" customHeight="1" x14ac:dyDescent="0.25">
      <c r="A350" s="8" t="s">
        <v>863</v>
      </c>
      <c r="B350" s="9">
        <v>44699</v>
      </c>
      <c r="C350" s="9">
        <v>44702</v>
      </c>
      <c r="D350" s="8" t="s">
        <v>864</v>
      </c>
      <c r="E350" s="8" t="s">
        <v>121</v>
      </c>
      <c r="F350" s="8" t="s">
        <v>28</v>
      </c>
      <c r="G350" s="8" t="s">
        <v>20</v>
      </c>
      <c r="H350" s="8" t="s">
        <v>167</v>
      </c>
      <c r="I350" s="8" t="s">
        <v>52</v>
      </c>
      <c r="J350" s="8" t="s">
        <v>82</v>
      </c>
      <c r="K350" s="8" t="s">
        <v>206</v>
      </c>
      <c r="L350" s="10">
        <v>898</v>
      </c>
      <c r="M350" s="8">
        <v>8</v>
      </c>
      <c r="N350" s="11">
        <v>0</v>
      </c>
      <c r="O350" s="10">
        <v>282.06</v>
      </c>
      <c r="P350" s="12">
        <f t="shared" si="5"/>
        <v>0.31409799554565704</v>
      </c>
    </row>
    <row r="351" spans="1:16" ht="15" customHeight="1" x14ac:dyDescent="0.25">
      <c r="A351" s="13" t="s">
        <v>865</v>
      </c>
      <c r="B351" s="14">
        <v>45175</v>
      </c>
      <c r="C351" s="14">
        <v>45182</v>
      </c>
      <c r="D351" s="13" t="s">
        <v>866</v>
      </c>
      <c r="E351" s="13" t="s">
        <v>184</v>
      </c>
      <c r="F351" s="13" t="s">
        <v>28</v>
      </c>
      <c r="G351" s="13" t="s">
        <v>36</v>
      </c>
      <c r="H351" s="13" t="s">
        <v>232</v>
      </c>
      <c r="I351" s="13" t="s">
        <v>22</v>
      </c>
      <c r="J351" s="13" t="s">
        <v>38</v>
      </c>
      <c r="K351" s="13" t="s">
        <v>107</v>
      </c>
      <c r="L351" s="15">
        <v>1224.96</v>
      </c>
      <c r="M351" s="13">
        <v>5</v>
      </c>
      <c r="N351" s="16">
        <v>0.3</v>
      </c>
      <c r="O351" s="15">
        <v>551.01</v>
      </c>
      <c r="P351" s="17">
        <f t="shared" si="5"/>
        <v>0.44981876959247646</v>
      </c>
    </row>
    <row r="352" spans="1:16" ht="15" customHeight="1" x14ac:dyDescent="0.25">
      <c r="A352" s="8" t="s">
        <v>867</v>
      </c>
      <c r="B352" s="9">
        <v>44581</v>
      </c>
      <c r="C352" s="9">
        <v>44586</v>
      </c>
      <c r="D352" s="8" t="s">
        <v>868</v>
      </c>
      <c r="E352" s="8" t="s">
        <v>215</v>
      </c>
      <c r="F352" s="8" t="s">
        <v>50</v>
      </c>
      <c r="G352" s="8" t="s">
        <v>43</v>
      </c>
      <c r="H352" s="8" t="s">
        <v>51</v>
      </c>
      <c r="I352" s="8" t="s">
        <v>30</v>
      </c>
      <c r="J352" s="8" t="s">
        <v>114</v>
      </c>
      <c r="K352" s="8" t="s">
        <v>350</v>
      </c>
      <c r="L352" s="10">
        <v>125</v>
      </c>
      <c r="M352" s="8">
        <v>9</v>
      </c>
      <c r="N352" s="11">
        <v>0.05</v>
      </c>
      <c r="O352" s="10">
        <v>39.869999999999997</v>
      </c>
      <c r="P352" s="12">
        <f t="shared" si="5"/>
        <v>0.31895999999999997</v>
      </c>
    </row>
    <row r="353" spans="1:16" ht="15" customHeight="1" x14ac:dyDescent="0.25">
      <c r="A353" s="13" t="s">
        <v>869</v>
      </c>
      <c r="B353" s="14">
        <v>45189</v>
      </c>
      <c r="C353" s="14">
        <v>45192</v>
      </c>
      <c r="D353" s="13" t="s">
        <v>870</v>
      </c>
      <c r="E353" s="13" t="s">
        <v>218</v>
      </c>
      <c r="F353" s="13" t="s">
        <v>28</v>
      </c>
      <c r="G353" s="13" t="s">
        <v>43</v>
      </c>
      <c r="H353" s="13" t="s">
        <v>129</v>
      </c>
      <c r="I353" s="13" t="s">
        <v>52</v>
      </c>
      <c r="J353" s="13" t="s">
        <v>264</v>
      </c>
      <c r="K353" s="13" t="s">
        <v>281</v>
      </c>
      <c r="L353" s="15">
        <v>1857.33</v>
      </c>
      <c r="M353" s="13">
        <v>9</v>
      </c>
      <c r="N353" s="16">
        <v>0</v>
      </c>
      <c r="O353" s="15">
        <v>447.99</v>
      </c>
      <c r="P353" s="17">
        <f t="shared" si="5"/>
        <v>0.24120107896819629</v>
      </c>
    </row>
    <row r="354" spans="1:16" ht="15" customHeight="1" x14ac:dyDescent="0.25">
      <c r="A354" s="8" t="s">
        <v>871</v>
      </c>
      <c r="B354" s="9">
        <v>44768</v>
      </c>
      <c r="C354" s="9">
        <v>44769</v>
      </c>
      <c r="D354" s="8" t="s">
        <v>872</v>
      </c>
      <c r="E354" s="8" t="s">
        <v>68</v>
      </c>
      <c r="F354" s="8" t="s">
        <v>19</v>
      </c>
      <c r="G354" s="8" t="s">
        <v>58</v>
      </c>
      <c r="H354" s="8" t="s">
        <v>87</v>
      </c>
      <c r="I354" s="8" t="s">
        <v>22</v>
      </c>
      <c r="J354" s="8" t="s">
        <v>38</v>
      </c>
      <c r="K354" s="8" t="s">
        <v>158</v>
      </c>
      <c r="L354" s="10">
        <v>2503.58</v>
      </c>
      <c r="M354" s="8">
        <v>8</v>
      </c>
      <c r="N354" s="11">
        <v>0.1</v>
      </c>
      <c r="O354" s="10">
        <v>1095.8900000000001</v>
      </c>
      <c r="P354" s="12">
        <f t="shared" si="5"/>
        <v>0.43772917182594528</v>
      </c>
    </row>
    <row r="355" spans="1:16" ht="15" customHeight="1" x14ac:dyDescent="0.25">
      <c r="A355" s="13" t="s">
        <v>873</v>
      </c>
      <c r="B355" s="14">
        <v>44575</v>
      </c>
      <c r="C355" s="14">
        <v>44577</v>
      </c>
      <c r="D355" s="13" t="s">
        <v>874</v>
      </c>
      <c r="E355" s="13" t="s">
        <v>755</v>
      </c>
      <c r="F355" s="13" t="s">
        <v>50</v>
      </c>
      <c r="G355" s="13" t="s">
        <v>58</v>
      </c>
      <c r="H355" s="13" t="s">
        <v>81</v>
      </c>
      <c r="I355" s="13" t="s">
        <v>30</v>
      </c>
      <c r="J355" s="13" t="s">
        <v>114</v>
      </c>
      <c r="K355" s="13" t="s">
        <v>236</v>
      </c>
      <c r="L355" s="15">
        <v>102.31</v>
      </c>
      <c r="M355" s="13">
        <v>9</v>
      </c>
      <c r="N355" s="16">
        <v>0.2</v>
      </c>
      <c r="O355" s="15">
        <v>25.01</v>
      </c>
      <c r="P355" s="17">
        <f t="shared" si="5"/>
        <v>0.24445313263610596</v>
      </c>
    </row>
    <row r="356" spans="1:16" ht="15" customHeight="1" x14ac:dyDescent="0.25">
      <c r="A356" s="8" t="s">
        <v>875</v>
      </c>
      <c r="B356" s="9">
        <v>45103</v>
      </c>
      <c r="C356" s="9">
        <v>45104</v>
      </c>
      <c r="D356" s="8" t="s">
        <v>876</v>
      </c>
      <c r="E356" s="8" t="s">
        <v>263</v>
      </c>
      <c r="F356" s="8" t="s">
        <v>19</v>
      </c>
      <c r="G356" s="8" t="s">
        <v>20</v>
      </c>
      <c r="H356" s="8" t="s">
        <v>21</v>
      </c>
      <c r="I356" s="8" t="s">
        <v>22</v>
      </c>
      <c r="J356" s="8" t="s">
        <v>45</v>
      </c>
      <c r="K356" s="8" t="s">
        <v>46</v>
      </c>
      <c r="L356" s="10">
        <v>1862.61</v>
      </c>
      <c r="M356" s="8">
        <v>4</v>
      </c>
      <c r="N356" s="11">
        <v>0.05</v>
      </c>
      <c r="O356" s="10">
        <v>748.25</v>
      </c>
      <c r="P356" s="12">
        <f t="shared" si="5"/>
        <v>0.40172124062471481</v>
      </c>
    </row>
    <row r="357" spans="1:16" ht="15" customHeight="1" x14ac:dyDescent="0.25">
      <c r="A357" s="13" t="s">
        <v>877</v>
      </c>
      <c r="B357" s="14">
        <v>45133</v>
      </c>
      <c r="C357" s="14">
        <v>45139</v>
      </c>
      <c r="D357" s="13" t="s">
        <v>878</v>
      </c>
      <c r="E357" s="13" t="s">
        <v>359</v>
      </c>
      <c r="F357" s="13" t="s">
        <v>28</v>
      </c>
      <c r="G357" s="13" t="s">
        <v>58</v>
      </c>
      <c r="H357" s="13" t="s">
        <v>81</v>
      </c>
      <c r="I357" s="13" t="s">
        <v>30</v>
      </c>
      <c r="J357" s="13" t="s">
        <v>162</v>
      </c>
      <c r="K357" s="13" t="s">
        <v>284</v>
      </c>
      <c r="L357" s="15">
        <v>410.5</v>
      </c>
      <c r="M357" s="13">
        <v>8</v>
      </c>
      <c r="N357" s="16">
        <v>0.2</v>
      </c>
      <c r="O357" s="15">
        <v>94.13</v>
      </c>
      <c r="P357" s="17">
        <f t="shared" si="5"/>
        <v>0.22930572472594396</v>
      </c>
    </row>
    <row r="358" spans="1:16" ht="15" customHeight="1" x14ac:dyDescent="0.25">
      <c r="A358" s="8" t="s">
        <v>879</v>
      </c>
      <c r="B358" s="9">
        <v>45078</v>
      </c>
      <c r="C358" s="9">
        <v>45081</v>
      </c>
      <c r="D358" s="8" t="s">
        <v>880</v>
      </c>
      <c r="E358" s="8" t="s">
        <v>447</v>
      </c>
      <c r="F358" s="8" t="s">
        <v>50</v>
      </c>
      <c r="G358" s="8" t="s">
        <v>36</v>
      </c>
      <c r="H358" s="8" t="s">
        <v>174</v>
      </c>
      <c r="I358" s="8" t="s">
        <v>52</v>
      </c>
      <c r="J358" s="8" t="s">
        <v>82</v>
      </c>
      <c r="K358" s="8" t="s">
        <v>100</v>
      </c>
      <c r="L358" s="10">
        <v>802.31</v>
      </c>
      <c r="M358" s="8">
        <v>7</v>
      </c>
      <c r="N358" s="11">
        <v>0.2</v>
      </c>
      <c r="O358" s="10">
        <v>195.33</v>
      </c>
      <c r="P358" s="12">
        <f t="shared" si="5"/>
        <v>0.24345951066296073</v>
      </c>
    </row>
    <row r="359" spans="1:16" ht="15" customHeight="1" x14ac:dyDescent="0.25">
      <c r="A359" s="13" t="s">
        <v>881</v>
      </c>
      <c r="B359" s="14">
        <v>45138</v>
      </c>
      <c r="C359" s="14">
        <v>45143</v>
      </c>
      <c r="D359" s="13" t="s">
        <v>882</v>
      </c>
      <c r="E359" s="13" t="s">
        <v>235</v>
      </c>
      <c r="F359" s="13" t="s">
        <v>28</v>
      </c>
      <c r="G359" s="13" t="s">
        <v>36</v>
      </c>
      <c r="H359" s="13" t="s">
        <v>174</v>
      </c>
      <c r="I359" s="13" t="s">
        <v>30</v>
      </c>
      <c r="J359" s="13" t="s">
        <v>162</v>
      </c>
      <c r="K359" s="13" t="s">
        <v>305</v>
      </c>
      <c r="L359" s="15">
        <v>370.11</v>
      </c>
      <c r="M359" s="13">
        <v>8</v>
      </c>
      <c r="N359" s="16">
        <v>0.2</v>
      </c>
      <c r="O359" s="15">
        <v>166.53</v>
      </c>
      <c r="P359" s="17">
        <f t="shared" si="5"/>
        <v>0.44994731296101159</v>
      </c>
    </row>
    <row r="360" spans="1:16" ht="15" customHeight="1" x14ac:dyDescent="0.25">
      <c r="A360" s="8" t="s">
        <v>883</v>
      </c>
      <c r="B360" s="9">
        <v>45092</v>
      </c>
      <c r="C360" s="9">
        <v>45094</v>
      </c>
      <c r="D360" s="8" t="s">
        <v>884</v>
      </c>
      <c r="E360" s="8" t="s">
        <v>215</v>
      </c>
      <c r="F360" s="8" t="s">
        <v>50</v>
      </c>
      <c r="G360" s="8" t="s">
        <v>43</v>
      </c>
      <c r="H360" s="8" t="s">
        <v>95</v>
      </c>
      <c r="I360" s="8" t="s">
        <v>22</v>
      </c>
      <c r="J360" s="8" t="s">
        <v>23</v>
      </c>
      <c r="K360" s="8" t="s">
        <v>125</v>
      </c>
      <c r="L360" s="10">
        <v>37.71</v>
      </c>
      <c r="M360" s="8">
        <v>1</v>
      </c>
      <c r="N360" s="11">
        <v>0.1</v>
      </c>
      <c r="O360" s="10">
        <v>8.3000000000000007</v>
      </c>
      <c r="P360" s="12">
        <f t="shared" si="5"/>
        <v>0.22010076902678335</v>
      </c>
    </row>
    <row r="361" spans="1:16" ht="15" customHeight="1" x14ac:dyDescent="0.25">
      <c r="A361" s="13" t="s">
        <v>885</v>
      </c>
      <c r="B361" s="14">
        <v>44658</v>
      </c>
      <c r="C361" s="14">
        <v>44659</v>
      </c>
      <c r="D361" s="13" t="s">
        <v>886</v>
      </c>
      <c r="E361" s="13" t="s">
        <v>170</v>
      </c>
      <c r="F361" s="13" t="s">
        <v>19</v>
      </c>
      <c r="G361" s="13" t="s">
        <v>58</v>
      </c>
      <c r="H361" s="13" t="s">
        <v>59</v>
      </c>
      <c r="I361" s="13" t="s">
        <v>22</v>
      </c>
      <c r="J361" s="13" t="s">
        <v>76</v>
      </c>
      <c r="K361" s="13" t="s">
        <v>203</v>
      </c>
      <c r="L361" s="15">
        <v>7362.63</v>
      </c>
      <c r="M361" s="13">
        <v>10</v>
      </c>
      <c r="N361" s="16">
        <v>0.1</v>
      </c>
      <c r="O361" s="15">
        <v>1820.27</v>
      </c>
      <c r="P361" s="17">
        <f t="shared" si="5"/>
        <v>0.24723094872348603</v>
      </c>
    </row>
    <row r="362" spans="1:16" ht="15" customHeight="1" x14ac:dyDescent="0.25">
      <c r="A362" s="8" t="s">
        <v>887</v>
      </c>
      <c r="B362" s="9">
        <v>45144</v>
      </c>
      <c r="C362" s="9">
        <v>45146</v>
      </c>
      <c r="D362" s="8" t="s">
        <v>888</v>
      </c>
      <c r="E362" s="8" t="s">
        <v>98</v>
      </c>
      <c r="F362" s="8" t="s">
        <v>50</v>
      </c>
      <c r="G362" s="8" t="s">
        <v>20</v>
      </c>
      <c r="H362" s="8" t="s">
        <v>21</v>
      </c>
      <c r="I362" s="8" t="s">
        <v>22</v>
      </c>
      <c r="J362" s="8" t="s">
        <v>38</v>
      </c>
      <c r="K362" s="8" t="s">
        <v>158</v>
      </c>
      <c r="L362" s="10">
        <v>3900.1</v>
      </c>
      <c r="M362" s="8">
        <v>10</v>
      </c>
      <c r="N362" s="11">
        <v>0</v>
      </c>
      <c r="O362" s="10">
        <v>1174.68</v>
      </c>
      <c r="P362" s="12">
        <f t="shared" si="5"/>
        <v>0.30119227712109947</v>
      </c>
    </row>
    <row r="363" spans="1:16" ht="15" customHeight="1" x14ac:dyDescent="0.25">
      <c r="A363" s="13" t="s">
        <v>889</v>
      </c>
      <c r="B363" s="14">
        <v>44642</v>
      </c>
      <c r="C363" s="14">
        <v>44649</v>
      </c>
      <c r="D363" s="13" t="s">
        <v>890</v>
      </c>
      <c r="E363" s="13" t="s">
        <v>450</v>
      </c>
      <c r="F363" s="13" t="s">
        <v>50</v>
      </c>
      <c r="G363" s="13" t="s">
        <v>20</v>
      </c>
      <c r="H363" s="13" t="s">
        <v>21</v>
      </c>
      <c r="I363" s="13" t="s">
        <v>52</v>
      </c>
      <c r="J363" s="13" t="s">
        <v>153</v>
      </c>
      <c r="K363" s="13" t="s">
        <v>221</v>
      </c>
      <c r="L363" s="15">
        <v>427.12</v>
      </c>
      <c r="M363" s="13">
        <v>4</v>
      </c>
      <c r="N363" s="16">
        <v>0</v>
      </c>
      <c r="O363" s="15">
        <v>124.52</v>
      </c>
      <c r="P363" s="17">
        <f t="shared" si="5"/>
        <v>0.29153399513017419</v>
      </c>
    </row>
    <row r="364" spans="1:16" ht="15" customHeight="1" x14ac:dyDescent="0.25">
      <c r="A364" s="8" t="s">
        <v>891</v>
      </c>
      <c r="B364" s="9">
        <v>45098</v>
      </c>
      <c r="C364" s="9">
        <v>45099</v>
      </c>
      <c r="D364" s="8" t="s">
        <v>892</v>
      </c>
      <c r="E364" s="8" t="s">
        <v>193</v>
      </c>
      <c r="F364" s="8" t="s">
        <v>50</v>
      </c>
      <c r="G364" s="8" t="s">
        <v>43</v>
      </c>
      <c r="H364" s="8" t="s">
        <v>51</v>
      </c>
      <c r="I364" s="8" t="s">
        <v>30</v>
      </c>
      <c r="J364" s="8" t="s">
        <v>60</v>
      </c>
      <c r="K364" s="8" t="s">
        <v>313</v>
      </c>
      <c r="L364" s="10">
        <v>16.61</v>
      </c>
      <c r="M364" s="8">
        <v>1</v>
      </c>
      <c r="N364" s="11">
        <v>0.2</v>
      </c>
      <c r="O364" s="10">
        <v>3.44</v>
      </c>
      <c r="P364" s="12">
        <f t="shared" si="5"/>
        <v>0.20710415412402167</v>
      </c>
    </row>
    <row r="365" spans="1:16" ht="15" customHeight="1" x14ac:dyDescent="0.25">
      <c r="A365" s="13" t="s">
        <v>893</v>
      </c>
      <c r="B365" s="14">
        <v>45004</v>
      </c>
      <c r="C365" s="14">
        <v>45007</v>
      </c>
      <c r="D365" s="13" t="s">
        <v>894</v>
      </c>
      <c r="E365" s="13" t="s">
        <v>259</v>
      </c>
      <c r="F365" s="13" t="s">
        <v>19</v>
      </c>
      <c r="G365" s="13" t="s">
        <v>58</v>
      </c>
      <c r="H365" s="13" t="s">
        <v>87</v>
      </c>
      <c r="I365" s="13" t="s">
        <v>52</v>
      </c>
      <c r="J365" s="13" t="s">
        <v>264</v>
      </c>
      <c r="K365" s="13" t="s">
        <v>265</v>
      </c>
      <c r="L365" s="15">
        <v>1706.96</v>
      </c>
      <c r="M365" s="13">
        <v>10</v>
      </c>
      <c r="N365" s="16">
        <v>0.2</v>
      </c>
      <c r="O365" s="15">
        <v>656.09</v>
      </c>
      <c r="P365" s="17">
        <f t="shared" si="5"/>
        <v>0.38436167221258849</v>
      </c>
    </row>
    <row r="366" spans="1:16" ht="15" customHeight="1" x14ac:dyDescent="0.25">
      <c r="A366" s="8" t="s">
        <v>895</v>
      </c>
      <c r="B366" s="9">
        <v>45276</v>
      </c>
      <c r="C366" s="9">
        <v>45278</v>
      </c>
      <c r="D366" s="8" t="s">
        <v>896</v>
      </c>
      <c r="E366" s="8" t="s">
        <v>27</v>
      </c>
      <c r="F366" s="8" t="s">
        <v>28</v>
      </c>
      <c r="G366" s="8" t="s">
        <v>36</v>
      </c>
      <c r="H366" s="8" t="s">
        <v>174</v>
      </c>
      <c r="I366" s="8" t="s">
        <v>22</v>
      </c>
      <c r="J366" s="8" t="s">
        <v>38</v>
      </c>
      <c r="K366" s="8" t="s">
        <v>107</v>
      </c>
      <c r="L366" s="10">
        <v>2852.28</v>
      </c>
      <c r="M366" s="8">
        <v>10</v>
      </c>
      <c r="N366" s="11">
        <v>0.05</v>
      </c>
      <c r="O366" s="10">
        <v>1110.74</v>
      </c>
      <c r="P366" s="12">
        <f t="shared" si="5"/>
        <v>0.38942179589661602</v>
      </c>
    </row>
    <row r="367" spans="1:16" ht="15" customHeight="1" x14ac:dyDescent="0.25">
      <c r="A367" s="13" t="s">
        <v>897</v>
      </c>
      <c r="B367" s="14">
        <v>45263</v>
      </c>
      <c r="C367" s="14">
        <v>45268</v>
      </c>
      <c r="D367" s="13" t="s">
        <v>898</v>
      </c>
      <c r="E367" s="13" t="s">
        <v>128</v>
      </c>
      <c r="F367" s="13" t="s">
        <v>28</v>
      </c>
      <c r="G367" s="13" t="s">
        <v>20</v>
      </c>
      <c r="H367" s="13" t="s">
        <v>99</v>
      </c>
      <c r="I367" s="13" t="s">
        <v>52</v>
      </c>
      <c r="J367" s="13" t="s">
        <v>153</v>
      </c>
      <c r="K367" s="13" t="s">
        <v>154</v>
      </c>
      <c r="L367" s="15">
        <v>429.47</v>
      </c>
      <c r="M367" s="13">
        <v>6</v>
      </c>
      <c r="N367" s="16">
        <v>0.15</v>
      </c>
      <c r="O367" s="15">
        <v>129.5</v>
      </c>
      <c r="P367" s="17">
        <f t="shared" si="5"/>
        <v>0.30153444943767899</v>
      </c>
    </row>
    <row r="368" spans="1:16" ht="15" customHeight="1" x14ac:dyDescent="0.25">
      <c r="A368" s="8" t="s">
        <v>899</v>
      </c>
      <c r="B368" s="9">
        <v>44920</v>
      </c>
      <c r="C368" s="9">
        <v>44925</v>
      </c>
      <c r="D368" s="8" t="s">
        <v>900</v>
      </c>
      <c r="E368" s="8" t="s">
        <v>229</v>
      </c>
      <c r="F368" s="8" t="s">
        <v>50</v>
      </c>
      <c r="G368" s="8" t="s">
        <v>58</v>
      </c>
      <c r="H368" s="8" t="s">
        <v>87</v>
      </c>
      <c r="I368" s="8" t="s">
        <v>22</v>
      </c>
      <c r="J368" s="8" t="s">
        <v>23</v>
      </c>
      <c r="K368" s="8" t="s">
        <v>143</v>
      </c>
      <c r="L368" s="10">
        <v>193.26</v>
      </c>
      <c r="M368" s="8">
        <v>6</v>
      </c>
      <c r="N368" s="11">
        <v>0</v>
      </c>
      <c r="O368" s="10">
        <v>81.540000000000006</v>
      </c>
      <c r="P368" s="12">
        <f t="shared" si="5"/>
        <v>0.42191865880161444</v>
      </c>
    </row>
    <row r="369" spans="1:16" ht="15" customHeight="1" x14ac:dyDescent="0.25">
      <c r="A369" s="13" t="s">
        <v>901</v>
      </c>
      <c r="B369" s="14">
        <v>44856</v>
      </c>
      <c r="C369" s="14">
        <v>44857</v>
      </c>
      <c r="D369" s="13" t="s">
        <v>902</v>
      </c>
      <c r="E369" s="13" t="s">
        <v>287</v>
      </c>
      <c r="F369" s="13" t="s">
        <v>50</v>
      </c>
      <c r="G369" s="13" t="s">
        <v>43</v>
      </c>
      <c r="H369" s="13" t="s">
        <v>95</v>
      </c>
      <c r="I369" s="13" t="s">
        <v>52</v>
      </c>
      <c r="J369" s="13" t="s">
        <v>153</v>
      </c>
      <c r="K369" s="13" t="s">
        <v>221</v>
      </c>
      <c r="L369" s="15">
        <v>484.27</v>
      </c>
      <c r="M369" s="13">
        <v>6</v>
      </c>
      <c r="N369" s="16">
        <v>0.05</v>
      </c>
      <c r="O369" s="15">
        <v>193.25</v>
      </c>
      <c r="P369" s="17">
        <f t="shared" si="5"/>
        <v>0.39905424659797223</v>
      </c>
    </row>
    <row r="370" spans="1:16" ht="15" customHeight="1" x14ac:dyDescent="0.25">
      <c r="A370" s="8" t="s">
        <v>903</v>
      </c>
      <c r="B370" s="9">
        <v>45199</v>
      </c>
      <c r="C370" s="9">
        <v>45205</v>
      </c>
      <c r="D370" s="8" t="s">
        <v>904</v>
      </c>
      <c r="E370" s="8" t="s">
        <v>118</v>
      </c>
      <c r="F370" s="8" t="s">
        <v>50</v>
      </c>
      <c r="G370" s="8" t="s">
        <v>36</v>
      </c>
      <c r="H370" s="8" t="s">
        <v>232</v>
      </c>
      <c r="I370" s="8" t="s">
        <v>30</v>
      </c>
      <c r="J370" s="8" t="s">
        <v>114</v>
      </c>
      <c r="K370" s="8" t="s">
        <v>236</v>
      </c>
      <c r="L370" s="10">
        <v>29.98</v>
      </c>
      <c r="M370" s="8">
        <v>3</v>
      </c>
      <c r="N370" s="11">
        <v>0.05</v>
      </c>
      <c r="O370" s="10">
        <v>7.58</v>
      </c>
      <c r="P370" s="12">
        <f t="shared" si="5"/>
        <v>0.25283522348232157</v>
      </c>
    </row>
    <row r="371" spans="1:16" ht="15" customHeight="1" x14ac:dyDescent="0.25">
      <c r="A371" s="13" t="s">
        <v>905</v>
      </c>
      <c r="B371" s="14">
        <v>45232</v>
      </c>
      <c r="C371" s="14">
        <v>45233</v>
      </c>
      <c r="D371" s="13" t="s">
        <v>906</v>
      </c>
      <c r="E371" s="13" t="s">
        <v>35</v>
      </c>
      <c r="F371" s="13" t="s">
        <v>28</v>
      </c>
      <c r="G371" s="13" t="s">
        <v>20</v>
      </c>
      <c r="H371" s="13" t="s">
        <v>167</v>
      </c>
      <c r="I371" s="13" t="s">
        <v>52</v>
      </c>
      <c r="J371" s="13" t="s">
        <v>82</v>
      </c>
      <c r="K371" s="13" t="s">
        <v>83</v>
      </c>
      <c r="L371" s="15">
        <v>94.23</v>
      </c>
      <c r="M371" s="13">
        <v>1</v>
      </c>
      <c r="N371" s="16">
        <v>0.2</v>
      </c>
      <c r="O371" s="15">
        <v>36.96</v>
      </c>
      <c r="P371" s="17">
        <f t="shared" si="5"/>
        <v>0.39223177332059855</v>
      </c>
    </row>
    <row r="372" spans="1:16" ht="15" customHeight="1" x14ac:dyDescent="0.25">
      <c r="A372" s="8" t="s">
        <v>907</v>
      </c>
      <c r="B372" s="9">
        <v>44885</v>
      </c>
      <c r="C372" s="9">
        <v>44889</v>
      </c>
      <c r="D372" s="8" t="s">
        <v>908</v>
      </c>
      <c r="E372" s="8" t="s">
        <v>218</v>
      </c>
      <c r="F372" s="8" t="s">
        <v>19</v>
      </c>
      <c r="G372" s="8" t="s">
        <v>20</v>
      </c>
      <c r="H372" s="8" t="s">
        <v>29</v>
      </c>
      <c r="I372" s="8" t="s">
        <v>30</v>
      </c>
      <c r="J372" s="8" t="s">
        <v>31</v>
      </c>
      <c r="K372" s="8" t="s">
        <v>240</v>
      </c>
      <c r="L372" s="10">
        <v>74.2</v>
      </c>
      <c r="M372" s="8">
        <v>1</v>
      </c>
      <c r="N372" s="11">
        <v>0.1</v>
      </c>
      <c r="O372" s="10">
        <v>27.2</v>
      </c>
      <c r="P372" s="12">
        <f t="shared" si="5"/>
        <v>0.36657681940700804</v>
      </c>
    </row>
    <row r="373" spans="1:16" ht="15" customHeight="1" x14ac:dyDescent="0.25">
      <c r="A373" s="13" t="s">
        <v>909</v>
      </c>
      <c r="B373" s="14">
        <v>44917</v>
      </c>
      <c r="C373" s="14">
        <v>44923</v>
      </c>
      <c r="D373" s="13" t="s">
        <v>910</v>
      </c>
      <c r="E373" s="13" t="s">
        <v>617</v>
      </c>
      <c r="F373" s="13" t="s">
        <v>28</v>
      </c>
      <c r="G373" s="13" t="s">
        <v>43</v>
      </c>
      <c r="H373" s="13" t="s">
        <v>44</v>
      </c>
      <c r="I373" s="13" t="s">
        <v>52</v>
      </c>
      <c r="J373" s="13" t="s">
        <v>53</v>
      </c>
      <c r="K373" s="13" t="s">
        <v>54</v>
      </c>
      <c r="L373" s="15">
        <v>1367.28</v>
      </c>
      <c r="M373" s="13">
        <v>5</v>
      </c>
      <c r="N373" s="16">
        <v>0.1</v>
      </c>
      <c r="O373" s="15">
        <v>314.93</v>
      </c>
      <c r="P373" s="17">
        <f t="shared" si="5"/>
        <v>0.2303332163126792</v>
      </c>
    </row>
    <row r="374" spans="1:16" ht="15" customHeight="1" x14ac:dyDescent="0.25">
      <c r="A374" s="8" t="s">
        <v>911</v>
      </c>
      <c r="B374" s="9">
        <v>44792</v>
      </c>
      <c r="C374" s="9">
        <v>44794</v>
      </c>
      <c r="D374" s="8" t="s">
        <v>912</v>
      </c>
      <c r="E374" s="8" t="s">
        <v>42</v>
      </c>
      <c r="F374" s="8" t="s">
        <v>28</v>
      </c>
      <c r="G374" s="8" t="s">
        <v>43</v>
      </c>
      <c r="H374" s="8" t="s">
        <v>129</v>
      </c>
      <c r="I374" s="8" t="s">
        <v>22</v>
      </c>
      <c r="J374" s="8" t="s">
        <v>45</v>
      </c>
      <c r="K374" s="8" t="s">
        <v>72</v>
      </c>
      <c r="L374" s="10">
        <v>3244.87</v>
      </c>
      <c r="M374" s="8">
        <v>7</v>
      </c>
      <c r="N374" s="11">
        <v>0.05</v>
      </c>
      <c r="O374" s="10">
        <v>1121.6400000000001</v>
      </c>
      <c r="P374" s="12">
        <f t="shared" si="5"/>
        <v>0.34566561988615879</v>
      </c>
    </row>
    <row r="375" spans="1:16" ht="15" customHeight="1" x14ac:dyDescent="0.25">
      <c r="A375" s="13" t="s">
        <v>913</v>
      </c>
      <c r="B375" s="14">
        <v>45181</v>
      </c>
      <c r="C375" s="14">
        <v>45184</v>
      </c>
      <c r="D375" s="13" t="s">
        <v>914</v>
      </c>
      <c r="E375" s="13" t="s">
        <v>215</v>
      </c>
      <c r="F375" s="13" t="s">
        <v>19</v>
      </c>
      <c r="G375" s="13" t="s">
        <v>58</v>
      </c>
      <c r="H375" s="13" t="s">
        <v>87</v>
      </c>
      <c r="I375" s="13" t="s">
        <v>30</v>
      </c>
      <c r="J375" s="13" t="s">
        <v>60</v>
      </c>
      <c r="K375" s="13" t="s">
        <v>61</v>
      </c>
      <c r="L375" s="15">
        <v>178.18</v>
      </c>
      <c r="M375" s="13">
        <v>9</v>
      </c>
      <c r="N375" s="16">
        <v>0.05</v>
      </c>
      <c r="O375" s="15">
        <v>41.76</v>
      </c>
      <c r="P375" s="17">
        <f t="shared" si="5"/>
        <v>0.23436973846671902</v>
      </c>
    </row>
    <row r="376" spans="1:16" ht="15" customHeight="1" x14ac:dyDescent="0.25">
      <c r="A376" s="8" t="s">
        <v>915</v>
      </c>
      <c r="B376" s="9">
        <v>45002</v>
      </c>
      <c r="C376" s="9">
        <v>45009</v>
      </c>
      <c r="D376" s="8" t="s">
        <v>631</v>
      </c>
      <c r="E376" s="8" t="s">
        <v>177</v>
      </c>
      <c r="F376" s="8" t="s">
        <v>50</v>
      </c>
      <c r="G376" s="8" t="s">
        <v>36</v>
      </c>
      <c r="H376" s="8" t="s">
        <v>136</v>
      </c>
      <c r="I376" s="8" t="s">
        <v>22</v>
      </c>
      <c r="J376" s="8" t="s">
        <v>45</v>
      </c>
      <c r="K376" s="8" t="s">
        <v>46</v>
      </c>
      <c r="L376" s="10">
        <v>3315</v>
      </c>
      <c r="M376" s="8">
        <v>6</v>
      </c>
      <c r="N376" s="11">
        <v>0</v>
      </c>
      <c r="O376" s="10">
        <v>889.18</v>
      </c>
      <c r="P376" s="12">
        <f t="shared" si="5"/>
        <v>0.26822926093514327</v>
      </c>
    </row>
    <row r="377" spans="1:16" ht="15" customHeight="1" x14ac:dyDescent="0.25">
      <c r="A377" s="13" t="s">
        <v>916</v>
      </c>
      <c r="B377" s="14">
        <v>44872</v>
      </c>
      <c r="C377" s="14">
        <v>44876</v>
      </c>
      <c r="D377" s="13" t="s">
        <v>917</v>
      </c>
      <c r="E377" s="13" t="s">
        <v>447</v>
      </c>
      <c r="F377" s="13" t="s">
        <v>19</v>
      </c>
      <c r="G377" s="13" t="s">
        <v>43</v>
      </c>
      <c r="H377" s="13" t="s">
        <v>51</v>
      </c>
      <c r="I377" s="13" t="s">
        <v>22</v>
      </c>
      <c r="J377" s="13" t="s">
        <v>23</v>
      </c>
      <c r="K377" s="13" t="s">
        <v>143</v>
      </c>
      <c r="L377" s="15">
        <v>37.58</v>
      </c>
      <c r="M377" s="13">
        <v>1</v>
      </c>
      <c r="N377" s="16">
        <v>0.1</v>
      </c>
      <c r="O377" s="15">
        <v>11.22</v>
      </c>
      <c r="P377" s="17">
        <f t="shared" si="5"/>
        <v>0.29856306546035127</v>
      </c>
    </row>
    <row r="378" spans="1:16" ht="15" customHeight="1" x14ac:dyDescent="0.25">
      <c r="A378" s="8" t="s">
        <v>918</v>
      </c>
      <c r="B378" s="9">
        <v>44798</v>
      </c>
      <c r="C378" s="9">
        <v>44804</v>
      </c>
      <c r="D378" s="8" t="s">
        <v>919</v>
      </c>
      <c r="E378" s="8" t="s">
        <v>359</v>
      </c>
      <c r="F378" s="8" t="s">
        <v>19</v>
      </c>
      <c r="G378" s="8" t="s">
        <v>20</v>
      </c>
      <c r="H378" s="8" t="s">
        <v>21</v>
      </c>
      <c r="I378" s="8" t="s">
        <v>30</v>
      </c>
      <c r="J378" s="8" t="s">
        <v>31</v>
      </c>
      <c r="K378" s="8" t="s">
        <v>32</v>
      </c>
      <c r="L378" s="10">
        <v>736.6</v>
      </c>
      <c r="M378" s="8">
        <v>9</v>
      </c>
      <c r="N378" s="11">
        <v>0.3</v>
      </c>
      <c r="O378" s="10">
        <v>200.35</v>
      </c>
      <c r="P378" s="12">
        <f t="shared" si="5"/>
        <v>0.2719929405376052</v>
      </c>
    </row>
    <row r="379" spans="1:16" ht="15" customHeight="1" x14ac:dyDescent="0.25">
      <c r="A379" s="13" t="s">
        <v>920</v>
      </c>
      <c r="B379" s="14">
        <v>45065</v>
      </c>
      <c r="C379" s="14">
        <v>45069</v>
      </c>
      <c r="D379" s="13" t="s">
        <v>921</v>
      </c>
      <c r="E379" s="13" t="s">
        <v>90</v>
      </c>
      <c r="F379" s="13" t="s">
        <v>19</v>
      </c>
      <c r="G379" s="13" t="s">
        <v>36</v>
      </c>
      <c r="H379" s="13" t="s">
        <v>136</v>
      </c>
      <c r="I379" s="13" t="s">
        <v>22</v>
      </c>
      <c r="J379" s="13" t="s">
        <v>45</v>
      </c>
      <c r="K379" s="13" t="s">
        <v>171</v>
      </c>
      <c r="L379" s="15">
        <v>455.92</v>
      </c>
      <c r="M379" s="13">
        <v>1</v>
      </c>
      <c r="N379" s="16">
        <v>0.2</v>
      </c>
      <c r="O379" s="15">
        <v>179.8</v>
      </c>
      <c r="P379" s="17">
        <f t="shared" si="5"/>
        <v>0.39436743288296194</v>
      </c>
    </row>
    <row r="380" spans="1:16" ht="15" customHeight="1" x14ac:dyDescent="0.25">
      <c r="A380" s="8" t="s">
        <v>922</v>
      </c>
      <c r="B380" s="9">
        <v>44743</v>
      </c>
      <c r="C380" s="9">
        <v>44747</v>
      </c>
      <c r="D380" s="8" t="s">
        <v>923</v>
      </c>
      <c r="E380" s="8" t="s">
        <v>113</v>
      </c>
      <c r="F380" s="8" t="s">
        <v>50</v>
      </c>
      <c r="G380" s="8" t="s">
        <v>58</v>
      </c>
      <c r="H380" s="8" t="s">
        <v>59</v>
      </c>
      <c r="I380" s="8" t="s">
        <v>22</v>
      </c>
      <c r="J380" s="8" t="s">
        <v>38</v>
      </c>
      <c r="K380" s="8" t="s">
        <v>107</v>
      </c>
      <c r="L380" s="10">
        <v>287.63</v>
      </c>
      <c r="M380" s="8">
        <v>1</v>
      </c>
      <c r="N380" s="11">
        <v>0.2</v>
      </c>
      <c r="O380" s="10">
        <v>77.650000000000006</v>
      </c>
      <c r="P380" s="12">
        <f t="shared" si="5"/>
        <v>0.26996488544310399</v>
      </c>
    </row>
    <row r="381" spans="1:16" ht="15" customHeight="1" x14ac:dyDescent="0.25">
      <c r="A381" s="13" t="s">
        <v>924</v>
      </c>
      <c r="B381" s="14">
        <v>45095</v>
      </c>
      <c r="C381" s="14">
        <v>45096</v>
      </c>
      <c r="D381" s="13" t="s">
        <v>925</v>
      </c>
      <c r="E381" s="13" t="s">
        <v>42</v>
      </c>
      <c r="F381" s="13" t="s">
        <v>19</v>
      </c>
      <c r="G381" s="13" t="s">
        <v>58</v>
      </c>
      <c r="H381" s="13" t="s">
        <v>181</v>
      </c>
      <c r="I381" s="13" t="s">
        <v>22</v>
      </c>
      <c r="J381" s="13" t="s">
        <v>38</v>
      </c>
      <c r="K381" s="13" t="s">
        <v>158</v>
      </c>
      <c r="L381" s="15">
        <v>352.31</v>
      </c>
      <c r="M381" s="13">
        <v>1</v>
      </c>
      <c r="N381" s="16">
        <v>0</v>
      </c>
      <c r="O381" s="15">
        <v>141.82</v>
      </c>
      <c r="P381" s="17">
        <f t="shared" si="5"/>
        <v>0.40254321478243588</v>
      </c>
    </row>
    <row r="382" spans="1:16" ht="15" customHeight="1" x14ac:dyDescent="0.25">
      <c r="A382" s="8" t="s">
        <v>926</v>
      </c>
      <c r="B382" s="9">
        <v>44854</v>
      </c>
      <c r="C382" s="9">
        <v>44858</v>
      </c>
      <c r="D382" s="8" t="s">
        <v>927</v>
      </c>
      <c r="E382" s="8" t="s">
        <v>368</v>
      </c>
      <c r="F382" s="8" t="s">
        <v>50</v>
      </c>
      <c r="G382" s="8" t="s">
        <v>36</v>
      </c>
      <c r="H382" s="8" t="s">
        <v>174</v>
      </c>
      <c r="I382" s="8" t="s">
        <v>30</v>
      </c>
      <c r="J382" s="8" t="s">
        <v>114</v>
      </c>
      <c r="K382" s="8" t="s">
        <v>350</v>
      </c>
      <c r="L382" s="10">
        <v>95</v>
      </c>
      <c r="M382" s="8">
        <v>9</v>
      </c>
      <c r="N382" s="11">
        <v>0.3</v>
      </c>
      <c r="O382" s="10">
        <v>23.04</v>
      </c>
      <c r="P382" s="12">
        <f t="shared" si="5"/>
        <v>0.24252631578947367</v>
      </c>
    </row>
    <row r="383" spans="1:16" ht="15" customHeight="1" x14ac:dyDescent="0.25">
      <c r="A383" s="13" t="s">
        <v>928</v>
      </c>
      <c r="B383" s="14">
        <v>44746</v>
      </c>
      <c r="C383" s="14">
        <v>44753</v>
      </c>
      <c r="D383" s="13" t="s">
        <v>929</v>
      </c>
      <c r="E383" s="13" t="s">
        <v>132</v>
      </c>
      <c r="F383" s="13" t="s">
        <v>50</v>
      </c>
      <c r="G383" s="13" t="s">
        <v>36</v>
      </c>
      <c r="H383" s="13" t="s">
        <v>174</v>
      </c>
      <c r="I383" s="13" t="s">
        <v>52</v>
      </c>
      <c r="J383" s="13" t="s">
        <v>153</v>
      </c>
      <c r="K383" s="13" t="s">
        <v>221</v>
      </c>
      <c r="L383" s="15">
        <v>270.38</v>
      </c>
      <c r="M383" s="13">
        <v>3</v>
      </c>
      <c r="N383" s="16">
        <v>0.05</v>
      </c>
      <c r="O383" s="15">
        <v>62.02</v>
      </c>
      <c r="P383" s="17">
        <f t="shared" si="5"/>
        <v>0.22938087136622534</v>
      </c>
    </row>
    <row r="384" spans="1:16" ht="15" customHeight="1" x14ac:dyDescent="0.25">
      <c r="A384" s="8" t="s">
        <v>930</v>
      </c>
      <c r="B384" s="9">
        <v>45270</v>
      </c>
      <c r="C384" s="9">
        <v>45276</v>
      </c>
      <c r="D384" s="8" t="s">
        <v>931</v>
      </c>
      <c r="E384" s="8" t="s">
        <v>263</v>
      </c>
      <c r="F384" s="8" t="s">
        <v>19</v>
      </c>
      <c r="G384" s="8" t="s">
        <v>36</v>
      </c>
      <c r="H384" s="8" t="s">
        <v>232</v>
      </c>
      <c r="I384" s="8" t="s">
        <v>22</v>
      </c>
      <c r="J384" s="8" t="s">
        <v>38</v>
      </c>
      <c r="K384" s="8" t="s">
        <v>158</v>
      </c>
      <c r="L384" s="10">
        <v>1364.54</v>
      </c>
      <c r="M384" s="8">
        <v>6</v>
      </c>
      <c r="N384" s="11">
        <v>0.2</v>
      </c>
      <c r="O384" s="10">
        <v>366.08</v>
      </c>
      <c r="P384" s="12">
        <f t="shared" si="5"/>
        <v>0.26828088586629928</v>
      </c>
    </row>
    <row r="385" spans="1:16" ht="15" customHeight="1" x14ac:dyDescent="0.25">
      <c r="A385" s="13" t="s">
        <v>932</v>
      </c>
      <c r="B385" s="14">
        <v>44949</v>
      </c>
      <c r="C385" s="14">
        <v>44954</v>
      </c>
      <c r="D385" s="13" t="s">
        <v>933</v>
      </c>
      <c r="E385" s="13" t="s">
        <v>121</v>
      </c>
      <c r="F385" s="13" t="s">
        <v>19</v>
      </c>
      <c r="G385" s="13" t="s">
        <v>58</v>
      </c>
      <c r="H385" s="13" t="s">
        <v>81</v>
      </c>
      <c r="I385" s="13" t="s">
        <v>52</v>
      </c>
      <c r="J385" s="13" t="s">
        <v>53</v>
      </c>
      <c r="K385" s="13" t="s">
        <v>278</v>
      </c>
      <c r="L385" s="15">
        <v>697.86</v>
      </c>
      <c r="M385" s="13">
        <v>3</v>
      </c>
      <c r="N385" s="16">
        <v>0</v>
      </c>
      <c r="O385" s="15">
        <v>240.83</v>
      </c>
      <c r="P385" s="17">
        <f t="shared" si="5"/>
        <v>0.34509787063307829</v>
      </c>
    </row>
    <row r="386" spans="1:16" ht="15" customHeight="1" x14ac:dyDescent="0.25">
      <c r="A386" s="8" t="s">
        <v>934</v>
      </c>
      <c r="B386" s="9">
        <v>45203</v>
      </c>
      <c r="C386" s="9">
        <v>45205</v>
      </c>
      <c r="D386" s="8" t="s">
        <v>935</v>
      </c>
      <c r="E386" s="8" t="s">
        <v>226</v>
      </c>
      <c r="F386" s="8" t="s">
        <v>19</v>
      </c>
      <c r="G386" s="8" t="s">
        <v>20</v>
      </c>
      <c r="H386" s="8" t="s">
        <v>29</v>
      </c>
      <c r="I386" s="8" t="s">
        <v>22</v>
      </c>
      <c r="J386" s="8" t="s">
        <v>76</v>
      </c>
      <c r="K386" s="8" t="s">
        <v>91</v>
      </c>
      <c r="L386" s="10">
        <v>5111.8999999999996</v>
      </c>
      <c r="M386" s="8">
        <v>8</v>
      </c>
      <c r="N386" s="11">
        <v>0.3</v>
      </c>
      <c r="O386" s="10">
        <v>1605.77</v>
      </c>
      <c r="P386" s="12">
        <f t="shared" ref="P386:P449" si="6">O386/L386</f>
        <v>0.31412390696218628</v>
      </c>
    </row>
    <row r="387" spans="1:16" ht="15" customHeight="1" x14ac:dyDescent="0.25">
      <c r="A387" s="13" t="s">
        <v>936</v>
      </c>
      <c r="B387" s="14">
        <v>44805</v>
      </c>
      <c r="C387" s="14">
        <v>44807</v>
      </c>
      <c r="D387" s="13" t="s">
        <v>937</v>
      </c>
      <c r="E387" s="13" t="s">
        <v>316</v>
      </c>
      <c r="F387" s="13" t="s">
        <v>50</v>
      </c>
      <c r="G387" s="13" t="s">
        <v>58</v>
      </c>
      <c r="H387" s="13" t="s">
        <v>181</v>
      </c>
      <c r="I387" s="13" t="s">
        <v>52</v>
      </c>
      <c r="J387" s="13" t="s">
        <v>264</v>
      </c>
      <c r="K387" s="13" t="s">
        <v>344</v>
      </c>
      <c r="L387" s="15">
        <v>1381.77</v>
      </c>
      <c r="M387" s="13">
        <v>10</v>
      </c>
      <c r="N387" s="16">
        <v>0.1</v>
      </c>
      <c r="O387" s="15">
        <v>407.7</v>
      </c>
      <c r="P387" s="17">
        <f t="shared" si="6"/>
        <v>0.29505634078030352</v>
      </c>
    </row>
    <row r="388" spans="1:16" ht="15" customHeight="1" x14ac:dyDescent="0.25">
      <c r="A388" s="8" t="s">
        <v>938</v>
      </c>
      <c r="B388" s="9">
        <v>44713</v>
      </c>
      <c r="C388" s="9">
        <v>44714</v>
      </c>
      <c r="D388" s="8" t="s">
        <v>939</v>
      </c>
      <c r="E388" s="8" t="s">
        <v>128</v>
      </c>
      <c r="F388" s="8" t="s">
        <v>19</v>
      </c>
      <c r="G388" s="8" t="s">
        <v>43</v>
      </c>
      <c r="H388" s="8" t="s">
        <v>95</v>
      </c>
      <c r="I388" s="8" t="s">
        <v>22</v>
      </c>
      <c r="J388" s="8" t="s">
        <v>76</v>
      </c>
      <c r="K388" s="8" t="s">
        <v>203</v>
      </c>
      <c r="L388" s="10">
        <v>1186</v>
      </c>
      <c r="M388" s="8">
        <v>2</v>
      </c>
      <c r="N388" s="11">
        <v>0.2</v>
      </c>
      <c r="O388" s="10">
        <v>239.06</v>
      </c>
      <c r="P388" s="12">
        <f t="shared" si="6"/>
        <v>0.20156829679595278</v>
      </c>
    </row>
    <row r="389" spans="1:16" ht="15" customHeight="1" x14ac:dyDescent="0.25">
      <c r="A389" s="13" t="s">
        <v>940</v>
      </c>
      <c r="B389" s="14">
        <v>45028</v>
      </c>
      <c r="C389" s="14">
        <v>45034</v>
      </c>
      <c r="D389" s="13" t="s">
        <v>941</v>
      </c>
      <c r="E389" s="13" t="s">
        <v>287</v>
      </c>
      <c r="F389" s="13" t="s">
        <v>19</v>
      </c>
      <c r="G389" s="13" t="s">
        <v>43</v>
      </c>
      <c r="H389" s="13" t="s">
        <v>95</v>
      </c>
      <c r="I389" s="13" t="s">
        <v>52</v>
      </c>
      <c r="J389" s="13" t="s">
        <v>82</v>
      </c>
      <c r="K389" s="13" t="s">
        <v>100</v>
      </c>
      <c r="L389" s="15">
        <v>819.22</v>
      </c>
      <c r="M389" s="13">
        <v>7</v>
      </c>
      <c r="N389" s="16">
        <v>0.2</v>
      </c>
      <c r="O389" s="15">
        <v>195.93</v>
      </c>
      <c r="P389" s="17">
        <f t="shared" si="6"/>
        <v>0.23916652425477894</v>
      </c>
    </row>
    <row r="390" spans="1:16" ht="15" customHeight="1" x14ac:dyDescent="0.25">
      <c r="A390" s="8" t="s">
        <v>942</v>
      </c>
      <c r="B390" s="9">
        <v>44699</v>
      </c>
      <c r="C390" s="9">
        <v>44700</v>
      </c>
      <c r="D390" s="8" t="s">
        <v>943</v>
      </c>
      <c r="E390" s="8" t="s">
        <v>256</v>
      </c>
      <c r="F390" s="8" t="s">
        <v>28</v>
      </c>
      <c r="G390" s="8" t="s">
        <v>43</v>
      </c>
      <c r="H390" s="8" t="s">
        <v>44</v>
      </c>
      <c r="I390" s="8" t="s">
        <v>52</v>
      </c>
      <c r="J390" s="8" t="s">
        <v>53</v>
      </c>
      <c r="K390" s="8" t="s">
        <v>54</v>
      </c>
      <c r="L390" s="10">
        <v>1125.44</v>
      </c>
      <c r="M390" s="8">
        <v>4</v>
      </c>
      <c r="N390" s="11">
        <v>0</v>
      </c>
      <c r="O390" s="10">
        <v>345.69</v>
      </c>
      <c r="P390" s="12">
        <f t="shared" si="6"/>
        <v>0.30715986636337789</v>
      </c>
    </row>
    <row r="391" spans="1:16" ht="15" customHeight="1" x14ac:dyDescent="0.25">
      <c r="A391" s="13" t="s">
        <v>944</v>
      </c>
      <c r="B391" s="14">
        <v>45267</v>
      </c>
      <c r="C391" s="14">
        <v>45272</v>
      </c>
      <c r="D391" s="13" t="s">
        <v>945</v>
      </c>
      <c r="E391" s="13" t="s">
        <v>157</v>
      </c>
      <c r="F391" s="13" t="s">
        <v>28</v>
      </c>
      <c r="G391" s="13" t="s">
        <v>43</v>
      </c>
      <c r="H391" s="13" t="s">
        <v>129</v>
      </c>
      <c r="I391" s="13" t="s">
        <v>52</v>
      </c>
      <c r="J391" s="13" t="s">
        <v>82</v>
      </c>
      <c r="K391" s="13" t="s">
        <v>206</v>
      </c>
      <c r="L391" s="15">
        <v>1323.7</v>
      </c>
      <c r="M391" s="13">
        <v>10</v>
      </c>
      <c r="N391" s="16">
        <v>0.15</v>
      </c>
      <c r="O391" s="15">
        <v>288.86</v>
      </c>
      <c r="P391" s="17">
        <f t="shared" si="6"/>
        <v>0.21822165143159328</v>
      </c>
    </row>
    <row r="392" spans="1:16" ht="15" customHeight="1" x14ac:dyDescent="0.25">
      <c r="A392" s="8" t="s">
        <v>946</v>
      </c>
      <c r="B392" s="9">
        <v>45066</v>
      </c>
      <c r="C392" s="9">
        <v>45073</v>
      </c>
      <c r="D392" s="8" t="s">
        <v>947</v>
      </c>
      <c r="E392" s="8" t="s">
        <v>170</v>
      </c>
      <c r="F392" s="8" t="s">
        <v>28</v>
      </c>
      <c r="G392" s="8" t="s">
        <v>36</v>
      </c>
      <c r="H392" s="8" t="s">
        <v>136</v>
      </c>
      <c r="I392" s="8" t="s">
        <v>52</v>
      </c>
      <c r="J392" s="8" t="s">
        <v>53</v>
      </c>
      <c r="K392" s="8" t="s">
        <v>278</v>
      </c>
      <c r="L392" s="10">
        <v>430.4</v>
      </c>
      <c r="M392" s="8">
        <v>2</v>
      </c>
      <c r="N392" s="11">
        <v>0</v>
      </c>
      <c r="O392" s="10">
        <v>114.33</v>
      </c>
      <c r="P392" s="12">
        <f t="shared" si="6"/>
        <v>0.26563661710037173</v>
      </c>
    </row>
    <row r="393" spans="1:16" ht="15" customHeight="1" x14ac:dyDescent="0.25">
      <c r="A393" s="13" t="s">
        <v>948</v>
      </c>
      <c r="B393" s="14">
        <v>44985</v>
      </c>
      <c r="C393" s="14">
        <v>44986</v>
      </c>
      <c r="D393" s="13" t="s">
        <v>949</v>
      </c>
      <c r="E393" s="13" t="s">
        <v>132</v>
      </c>
      <c r="F393" s="13" t="s">
        <v>28</v>
      </c>
      <c r="G393" s="13" t="s">
        <v>43</v>
      </c>
      <c r="H393" s="13" t="s">
        <v>44</v>
      </c>
      <c r="I393" s="13" t="s">
        <v>30</v>
      </c>
      <c r="J393" s="13" t="s">
        <v>60</v>
      </c>
      <c r="K393" s="13" t="s">
        <v>313</v>
      </c>
      <c r="L393" s="15">
        <v>75.2</v>
      </c>
      <c r="M393" s="13">
        <v>4</v>
      </c>
      <c r="N393" s="16">
        <v>0.1</v>
      </c>
      <c r="O393" s="15">
        <v>18.98</v>
      </c>
      <c r="P393" s="17">
        <f t="shared" si="6"/>
        <v>0.25239361702127661</v>
      </c>
    </row>
    <row r="394" spans="1:16" ht="15" customHeight="1" x14ac:dyDescent="0.25">
      <c r="A394" s="8" t="s">
        <v>950</v>
      </c>
      <c r="B394" s="9">
        <v>44568</v>
      </c>
      <c r="C394" s="9">
        <v>44569</v>
      </c>
      <c r="D394" s="8" t="s">
        <v>951</v>
      </c>
      <c r="E394" s="8" t="s">
        <v>180</v>
      </c>
      <c r="F394" s="8" t="s">
        <v>50</v>
      </c>
      <c r="G394" s="8" t="s">
        <v>43</v>
      </c>
      <c r="H394" s="8" t="s">
        <v>44</v>
      </c>
      <c r="I394" s="8" t="s">
        <v>30</v>
      </c>
      <c r="J394" s="8" t="s">
        <v>114</v>
      </c>
      <c r="K394" s="8" t="s">
        <v>115</v>
      </c>
      <c r="L394" s="10">
        <v>40.729999999999997</v>
      </c>
      <c r="M394" s="8">
        <v>4</v>
      </c>
      <c r="N394" s="11">
        <v>0.15</v>
      </c>
      <c r="O394" s="10">
        <v>8.94</v>
      </c>
      <c r="P394" s="12">
        <f t="shared" si="6"/>
        <v>0.21949423029707832</v>
      </c>
    </row>
    <row r="395" spans="1:16" ht="15" customHeight="1" x14ac:dyDescent="0.25">
      <c r="A395" s="13" t="s">
        <v>952</v>
      </c>
      <c r="B395" s="14">
        <v>45223</v>
      </c>
      <c r="C395" s="14">
        <v>45225</v>
      </c>
      <c r="D395" s="13" t="s">
        <v>953</v>
      </c>
      <c r="E395" s="13" t="s">
        <v>455</v>
      </c>
      <c r="F395" s="13" t="s">
        <v>28</v>
      </c>
      <c r="G395" s="13" t="s">
        <v>58</v>
      </c>
      <c r="H395" s="13" t="s">
        <v>87</v>
      </c>
      <c r="I395" s="13" t="s">
        <v>52</v>
      </c>
      <c r="J395" s="13" t="s">
        <v>82</v>
      </c>
      <c r="K395" s="13" t="s">
        <v>100</v>
      </c>
      <c r="L395" s="15">
        <v>1064.7</v>
      </c>
      <c r="M395" s="13">
        <v>7</v>
      </c>
      <c r="N395" s="16">
        <v>0</v>
      </c>
      <c r="O395" s="15">
        <v>256.83</v>
      </c>
      <c r="P395" s="17">
        <f t="shared" si="6"/>
        <v>0.24122287968441813</v>
      </c>
    </row>
    <row r="396" spans="1:16" ht="15" customHeight="1" x14ac:dyDescent="0.25">
      <c r="A396" s="8" t="s">
        <v>954</v>
      </c>
      <c r="B396" s="9">
        <v>45130</v>
      </c>
      <c r="C396" s="9">
        <v>45135</v>
      </c>
      <c r="D396" s="8" t="s">
        <v>955</v>
      </c>
      <c r="E396" s="8" t="s">
        <v>184</v>
      </c>
      <c r="F396" s="8" t="s">
        <v>28</v>
      </c>
      <c r="G396" s="8" t="s">
        <v>20</v>
      </c>
      <c r="H396" s="8" t="s">
        <v>29</v>
      </c>
      <c r="I396" s="8" t="s">
        <v>30</v>
      </c>
      <c r="J396" s="8" t="s">
        <v>162</v>
      </c>
      <c r="K396" s="8" t="s">
        <v>305</v>
      </c>
      <c r="L396" s="10">
        <v>127.35</v>
      </c>
      <c r="M396" s="8">
        <v>2</v>
      </c>
      <c r="N396" s="11">
        <v>0.1</v>
      </c>
      <c r="O396" s="10">
        <v>30.54</v>
      </c>
      <c r="P396" s="12">
        <f t="shared" si="6"/>
        <v>0.239811542991755</v>
      </c>
    </row>
    <row r="397" spans="1:16" ht="15" customHeight="1" x14ac:dyDescent="0.25">
      <c r="A397" s="13" t="s">
        <v>956</v>
      </c>
      <c r="B397" s="14">
        <v>45146</v>
      </c>
      <c r="C397" s="14">
        <v>45151</v>
      </c>
      <c r="D397" s="13" t="s">
        <v>957</v>
      </c>
      <c r="E397" s="13" t="s">
        <v>349</v>
      </c>
      <c r="F397" s="13" t="s">
        <v>28</v>
      </c>
      <c r="G397" s="13" t="s">
        <v>58</v>
      </c>
      <c r="H397" s="13" t="s">
        <v>87</v>
      </c>
      <c r="I397" s="13" t="s">
        <v>22</v>
      </c>
      <c r="J397" s="13" t="s">
        <v>76</v>
      </c>
      <c r="K397" s="13" t="s">
        <v>77</v>
      </c>
      <c r="L397" s="15">
        <v>5367.65</v>
      </c>
      <c r="M397" s="13">
        <v>6</v>
      </c>
      <c r="N397" s="16">
        <v>0.1</v>
      </c>
      <c r="O397" s="15">
        <v>1860.07</v>
      </c>
      <c r="P397" s="17">
        <f t="shared" si="6"/>
        <v>0.34653339915978132</v>
      </c>
    </row>
    <row r="398" spans="1:16" ht="15" customHeight="1" x14ac:dyDescent="0.25">
      <c r="A398" s="8" t="s">
        <v>958</v>
      </c>
      <c r="B398" s="9">
        <v>45024</v>
      </c>
      <c r="C398" s="9">
        <v>45031</v>
      </c>
      <c r="D398" s="8" t="s">
        <v>959</v>
      </c>
      <c r="E398" s="8" t="s">
        <v>75</v>
      </c>
      <c r="F398" s="8" t="s">
        <v>28</v>
      </c>
      <c r="G398" s="8" t="s">
        <v>43</v>
      </c>
      <c r="H398" s="8" t="s">
        <v>51</v>
      </c>
      <c r="I398" s="8" t="s">
        <v>52</v>
      </c>
      <c r="J398" s="8" t="s">
        <v>53</v>
      </c>
      <c r="K398" s="8" t="s">
        <v>278</v>
      </c>
      <c r="L398" s="10">
        <v>1714.62</v>
      </c>
      <c r="M398" s="8">
        <v>6</v>
      </c>
      <c r="N398" s="11">
        <v>0.05</v>
      </c>
      <c r="O398" s="10">
        <v>380.07</v>
      </c>
      <c r="P398" s="12">
        <f t="shared" si="6"/>
        <v>0.22166427546628409</v>
      </c>
    </row>
    <row r="399" spans="1:16" ht="15" customHeight="1" x14ac:dyDescent="0.25">
      <c r="A399" s="13" t="s">
        <v>960</v>
      </c>
      <c r="B399" s="14">
        <v>45056</v>
      </c>
      <c r="C399" s="14">
        <v>45061</v>
      </c>
      <c r="D399" s="13" t="s">
        <v>961</v>
      </c>
      <c r="E399" s="13" t="s">
        <v>212</v>
      </c>
      <c r="F399" s="13" t="s">
        <v>50</v>
      </c>
      <c r="G399" s="13" t="s">
        <v>36</v>
      </c>
      <c r="H399" s="13" t="s">
        <v>136</v>
      </c>
      <c r="I399" s="13" t="s">
        <v>52</v>
      </c>
      <c r="J399" s="13" t="s">
        <v>82</v>
      </c>
      <c r="K399" s="13" t="s">
        <v>100</v>
      </c>
      <c r="L399" s="15">
        <v>430.65</v>
      </c>
      <c r="M399" s="13">
        <v>3</v>
      </c>
      <c r="N399" s="16">
        <v>0</v>
      </c>
      <c r="O399" s="15">
        <v>105.28</v>
      </c>
      <c r="P399" s="17">
        <f t="shared" si="6"/>
        <v>0.24446766515732035</v>
      </c>
    </row>
    <row r="400" spans="1:16" ht="15" customHeight="1" x14ac:dyDescent="0.25">
      <c r="A400" s="8" t="s">
        <v>962</v>
      </c>
      <c r="B400" s="9">
        <v>44599</v>
      </c>
      <c r="C400" s="9">
        <v>44603</v>
      </c>
      <c r="D400" s="8" t="s">
        <v>963</v>
      </c>
      <c r="E400" s="8" t="s">
        <v>312</v>
      </c>
      <c r="F400" s="8" t="s">
        <v>19</v>
      </c>
      <c r="G400" s="8" t="s">
        <v>58</v>
      </c>
      <c r="H400" s="8" t="s">
        <v>81</v>
      </c>
      <c r="I400" s="8" t="s">
        <v>52</v>
      </c>
      <c r="J400" s="8" t="s">
        <v>264</v>
      </c>
      <c r="K400" s="8" t="s">
        <v>344</v>
      </c>
      <c r="L400" s="10">
        <v>1900.77</v>
      </c>
      <c r="M400" s="8">
        <v>10</v>
      </c>
      <c r="N400" s="11">
        <v>0.15</v>
      </c>
      <c r="O400" s="10">
        <v>633.49</v>
      </c>
      <c r="P400" s="12">
        <f t="shared" si="6"/>
        <v>0.33328072307538525</v>
      </c>
    </row>
    <row r="401" spans="1:16" ht="15" customHeight="1" x14ac:dyDescent="0.25">
      <c r="A401" s="13" t="s">
        <v>964</v>
      </c>
      <c r="B401" s="14">
        <v>44585</v>
      </c>
      <c r="C401" s="14">
        <v>44590</v>
      </c>
      <c r="D401" s="13" t="s">
        <v>965</v>
      </c>
      <c r="E401" s="13" t="s">
        <v>135</v>
      </c>
      <c r="F401" s="13" t="s">
        <v>50</v>
      </c>
      <c r="G401" s="13" t="s">
        <v>43</v>
      </c>
      <c r="H401" s="13" t="s">
        <v>51</v>
      </c>
      <c r="I401" s="13" t="s">
        <v>22</v>
      </c>
      <c r="J401" s="13" t="s">
        <v>23</v>
      </c>
      <c r="K401" s="13" t="s">
        <v>125</v>
      </c>
      <c r="L401" s="15">
        <v>133.44999999999999</v>
      </c>
      <c r="M401" s="13">
        <v>5</v>
      </c>
      <c r="N401" s="16">
        <v>0.3</v>
      </c>
      <c r="O401" s="15">
        <v>37.659999999999997</v>
      </c>
      <c r="P401" s="17">
        <f t="shared" si="6"/>
        <v>0.28220307231172725</v>
      </c>
    </row>
    <row r="402" spans="1:16" ht="15" customHeight="1" x14ac:dyDescent="0.25">
      <c r="A402" s="8" t="s">
        <v>966</v>
      </c>
      <c r="B402" s="9">
        <v>44842</v>
      </c>
      <c r="C402" s="9">
        <v>44843</v>
      </c>
      <c r="D402" s="8" t="s">
        <v>967</v>
      </c>
      <c r="E402" s="8" t="s">
        <v>312</v>
      </c>
      <c r="F402" s="8" t="s">
        <v>19</v>
      </c>
      <c r="G402" s="8" t="s">
        <v>20</v>
      </c>
      <c r="H402" s="8" t="s">
        <v>99</v>
      </c>
      <c r="I402" s="8" t="s">
        <v>30</v>
      </c>
      <c r="J402" s="8" t="s">
        <v>162</v>
      </c>
      <c r="K402" s="8" t="s">
        <v>284</v>
      </c>
      <c r="L402" s="10">
        <v>288.68</v>
      </c>
      <c r="M402" s="8">
        <v>6</v>
      </c>
      <c r="N402" s="11">
        <v>0.1</v>
      </c>
      <c r="O402" s="10">
        <v>88.47</v>
      </c>
      <c r="P402" s="12">
        <f t="shared" si="6"/>
        <v>0.30646390466953027</v>
      </c>
    </row>
    <row r="403" spans="1:16" ht="15" customHeight="1" x14ac:dyDescent="0.25">
      <c r="A403" s="13" t="s">
        <v>968</v>
      </c>
      <c r="B403" s="14">
        <v>45189</v>
      </c>
      <c r="C403" s="14">
        <v>45192</v>
      </c>
      <c r="D403" s="13" t="s">
        <v>969</v>
      </c>
      <c r="E403" s="13" t="s">
        <v>71</v>
      </c>
      <c r="F403" s="13" t="s">
        <v>19</v>
      </c>
      <c r="G403" s="13" t="s">
        <v>58</v>
      </c>
      <c r="H403" s="13" t="s">
        <v>81</v>
      </c>
      <c r="I403" s="13" t="s">
        <v>22</v>
      </c>
      <c r="J403" s="13" t="s">
        <v>38</v>
      </c>
      <c r="K403" s="13" t="s">
        <v>158</v>
      </c>
      <c r="L403" s="15">
        <v>287.25</v>
      </c>
      <c r="M403" s="13">
        <v>1</v>
      </c>
      <c r="N403" s="16">
        <v>0</v>
      </c>
      <c r="O403" s="15">
        <v>123.08</v>
      </c>
      <c r="P403" s="17">
        <f t="shared" si="6"/>
        <v>0.4284769364664926</v>
      </c>
    </row>
    <row r="404" spans="1:16" ht="15" customHeight="1" x14ac:dyDescent="0.25">
      <c r="A404" s="8" t="s">
        <v>970</v>
      </c>
      <c r="B404" s="9">
        <v>45193</v>
      </c>
      <c r="C404" s="9">
        <v>45196</v>
      </c>
      <c r="D404" s="8" t="s">
        <v>971</v>
      </c>
      <c r="E404" s="8" t="s">
        <v>198</v>
      </c>
      <c r="F404" s="8" t="s">
        <v>19</v>
      </c>
      <c r="G404" s="8" t="s">
        <v>43</v>
      </c>
      <c r="H404" s="8" t="s">
        <v>44</v>
      </c>
      <c r="I404" s="8" t="s">
        <v>30</v>
      </c>
      <c r="J404" s="8" t="s">
        <v>114</v>
      </c>
      <c r="K404" s="8" t="s">
        <v>236</v>
      </c>
      <c r="L404" s="10">
        <v>76.37</v>
      </c>
      <c r="M404" s="8">
        <v>10</v>
      </c>
      <c r="N404" s="11">
        <v>0.3</v>
      </c>
      <c r="O404" s="10">
        <v>32.51</v>
      </c>
      <c r="P404" s="12">
        <f t="shared" si="6"/>
        <v>0.42569071624983629</v>
      </c>
    </row>
    <row r="405" spans="1:16" ht="15" customHeight="1" x14ac:dyDescent="0.25">
      <c r="A405" s="13" t="s">
        <v>972</v>
      </c>
      <c r="B405" s="14">
        <v>44799</v>
      </c>
      <c r="C405" s="14">
        <v>44801</v>
      </c>
      <c r="D405" s="13" t="s">
        <v>973</v>
      </c>
      <c r="E405" s="13" t="s">
        <v>256</v>
      </c>
      <c r="F405" s="13" t="s">
        <v>50</v>
      </c>
      <c r="G405" s="13" t="s">
        <v>36</v>
      </c>
      <c r="H405" s="13" t="s">
        <v>37</v>
      </c>
      <c r="I405" s="13" t="s">
        <v>52</v>
      </c>
      <c r="J405" s="13" t="s">
        <v>53</v>
      </c>
      <c r="K405" s="13" t="s">
        <v>54</v>
      </c>
      <c r="L405" s="15">
        <v>1536.32</v>
      </c>
      <c r="M405" s="13">
        <v>6</v>
      </c>
      <c r="N405" s="16">
        <v>0.15</v>
      </c>
      <c r="O405" s="15">
        <v>517.25</v>
      </c>
      <c r="P405" s="17">
        <f t="shared" si="6"/>
        <v>0.33668116017496358</v>
      </c>
    </row>
    <row r="406" spans="1:16" ht="15" customHeight="1" x14ac:dyDescent="0.25">
      <c r="A406" s="8" t="s">
        <v>974</v>
      </c>
      <c r="B406" s="9">
        <v>44677</v>
      </c>
      <c r="C406" s="9">
        <v>44680</v>
      </c>
      <c r="D406" s="8" t="s">
        <v>975</v>
      </c>
      <c r="E406" s="8" t="s">
        <v>239</v>
      </c>
      <c r="F406" s="8" t="s">
        <v>19</v>
      </c>
      <c r="G406" s="8" t="s">
        <v>58</v>
      </c>
      <c r="H406" s="8" t="s">
        <v>181</v>
      </c>
      <c r="I406" s="8" t="s">
        <v>52</v>
      </c>
      <c r="J406" s="8" t="s">
        <v>82</v>
      </c>
      <c r="K406" s="8" t="s">
        <v>206</v>
      </c>
      <c r="L406" s="10">
        <v>1088.8</v>
      </c>
      <c r="M406" s="8">
        <v>10</v>
      </c>
      <c r="N406" s="11">
        <v>0</v>
      </c>
      <c r="O406" s="10">
        <v>379.53</v>
      </c>
      <c r="P406" s="12">
        <f t="shared" si="6"/>
        <v>0.34857641440117559</v>
      </c>
    </row>
    <row r="407" spans="1:16" ht="15" customHeight="1" x14ac:dyDescent="0.25">
      <c r="A407" s="13" t="s">
        <v>976</v>
      </c>
      <c r="B407" s="14">
        <v>44871</v>
      </c>
      <c r="C407" s="14">
        <v>44876</v>
      </c>
      <c r="D407" s="13" t="s">
        <v>217</v>
      </c>
      <c r="E407" s="13" t="s">
        <v>560</v>
      </c>
      <c r="F407" s="13" t="s">
        <v>28</v>
      </c>
      <c r="G407" s="13" t="s">
        <v>58</v>
      </c>
      <c r="H407" s="13" t="s">
        <v>181</v>
      </c>
      <c r="I407" s="13" t="s">
        <v>52</v>
      </c>
      <c r="J407" s="13" t="s">
        <v>53</v>
      </c>
      <c r="K407" s="13" t="s">
        <v>54</v>
      </c>
      <c r="L407" s="15">
        <v>767.59</v>
      </c>
      <c r="M407" s="13">
        <v>4</v>
      </c>
      <c r="N407" s="16">
        <v>0.3</v>
      </c>
      <c r="O407" s="15">
        <v>271.76</v>
      </c>
      <c r="P407" s="17">
        <f t="shared" si="6"/>
        <v>0.35404317409033464</v>
      </c>
    </row>
    <row r="408" spans="1:16" ht="15" customHeight="1" x14ac:dyDescent="0.25">
      <c r="A408" s="8" t="s">
        <v>977</v>
      </c>
      <c r="B408" s="9">
        <v>45007</v>
      </c>
      <c r="C408" s="9">
        <v>45012</v>
      </c>
      <c r="D408" s="8" t="s">
        <v>978</v>
      </c>
      <c r="E408" s="8" t="s">
        <v>239</v>
      </c>
      <c r="F408" s="8" t="s">
        <v>19</v>
      </c>
      <c r="G408" s="8" t="s">
        <v>43</v>
      </c>
      <c r="H408" s="8" t="s">
        <v>51</v>
      </c>
      <c r="I408" s="8" t="s">
        <v>30</v>
      </c>
      <c r="J408" s="8" t="s">
        <v>114</v>
      </c>
      <c r="K408" s="8" t="s">
        <v>350</v>
      </c>
      <c r="L408" s="10">
        <v>147.19999999999999</v>
      </c>
      <c r="M408" s="8">
        <v>10</v>
      </c>
      <c r="N408" s="11">
        <v>0</v>
      </c>
      <c r="O408" s="10">
        <v>44.45</v>
      </c>
      <c r="P408" s="12">
        <f t="shared" si="6"/>
        <v>0.30197010869565222</v>
      </c>
    </row>
    <row r="409" spans="1:16" ht="15" customHeight="1" x14ac:dyDescent="0.25">
      <c r="A409" s="13" t="s">
        <v>979</v>
      </c>
      <c r="B409" s="14">
        <v>45017</v>
      </c>
      <c r="C409" s="14">
        <v>45019</v>
      </c>
      <c r="D409" s="13" t="s">
        <v>980</v>
      </c>
      <c r="E409" s="13" t="s">
        <v>193</v>
      </c>
      <c r="F409" s="13" t="s">
        <v>19</v>
      </c>
      <c r="G409" s="13" t="s">
        <v>43</v>
      </c>
      <c r="H409" s="13" t="s">
        <v>129</v>
      </c>
      <c r="I409" s="13" t="s">
        <v>30</v>
      </c>
      <c r="J409" s="13" t="s">
        <v>114</v>
      </c>
      <c r="K409" s="13" t="s">
        <v>350</v>
      </c>
      <c r="L409" s="15">
        <v>114.96</v>
      </c>
      <c r="M409" s="13">
        <v>10</v>
      </c>
      <c r="N409" s="16">
        <v>0.2</v>
      </c>
      <c r="O409" s="15">
        <v>42.32</v>
      </c>
      <c r="P409" s="17">
        <f t="shared" si="6"/>
        <v>0.36812804453723036</v>
      </c>
    </row>
    <row r="410" spans="1:16" ht="15" customHeight="1" x14ac:dyDescent="0.25">
      <c r="A410" s="8" t="s">
        <v>981</v>
      </c>
      <c r="B410" s="9">
        <v>44704</v>
      </c>
      <c r="C410" s="9">
        <v>44709</v>
      </c>
      <c r="D410" s="8" t="s">
        <v>982</v>
      </c>
      <c r="E410" s="8" t="s">
        <v>343</v>
      </c>
      <c r="F410" s="8" t="s">
        <v>28</v>
      </c>
      <c r="G410" s="8" t="s">
        <v>20</v>
      </c>
      <c r="H410" s="8" t="s">
        <v>29</v>
      </c>
      <c r="I410" s="8" t="s">
        <v>22</v>
      </c>
      <c r="J410" s="8" t="s">
        <v>38</v>
      </c>
      <c r="K410" s="8" t="s">
        <v>158</v>
      </c>
      <c r="L410" s="10">
        <v>1148.56</v>
      </c>
      <c r="M410" s="8">
        <v>5</v>
      </c>
      <c r="N410" s="11">
        <v>0.3</v>
      </c>
      <c r="O410" s="10">
        <v>460.67</v>
      </c>
      <c r="P410" s="12">
        <f t="shared" si="6"/>
        <v>0.40108483666504147</v>
      </c>
    </row>
    <row r="411" spans="1:16" ht="15" customHeight="1" x14ac:dyDescent="0.25">
      <c r="A411" s="13" t="s">
        <v>983</v>
      </c>
      <c r="B411" s="14">
        <v>45007</v>
      </c>
      <c r="C411" s="14">
        <v>45013</v>
      </c>
      <c r="D411" s="13" t="s">
        <v>984</v>
      </c>
      <c r="E411" s="13" t="s">
        <v>312</v>
      </c>
      <c r="F411" s="13" t="s">
        <v>28</v>
      </c>
      <c r="G411" s="13" t="s">
        <v>43</v>
      </c>
      <c r="H411" s="13" t="s">
        <v>95</v>
      </c>
      <c r="I411" s="13" t="s">
        <v>22</v>
      </c>
      <c r="J411" s="13" t="s">
        <v>38</v>
      </c>
      <c r="K411" s="13" t="s">
        <v>39</v>
      </c>
      <c r="L411" s="15">
        <v>1404.95</v>
      </c>
      <c r="M411" s="13">
        <v>5</v>
      </c>
      <c r="N411" s="16">
        <v>0</v>
      </c>
      <c r="O411" s="15">
        <v>631.92999999999995</v>
      </c>
      <c r="P411" s="17">
        <f t="shared" si="6"/>
        <v>0.44978824869212425</v>
      </c>
    </row>
    <row r="412" spans="1:16" ht="15" customHeight="1" x14ac:dyDescent="0.25">
      <c r="A412" s="8" t="s">
        <v>985</v>
      </c>
      <c r="B412" s="9">
        <v>44593</v>
      </c>
      <c r="C412" s="9">
        <v>44595</v>
      </c>
      <c r="D412" s="8" t="s">
        <v>986</v>
      </c>
      <c r="E412" s="8" t="s">
        <v>212</v>
      </c>
      <c r="F412" s="8" t="s">
        <v>28</v>
      </c>
      <c r="G412" s="8" t="s">
        <v>58</v>
      </c>
      <c r="H412" s="8" t="s">
        <v>181</v>
      </c>
      <c r="I412" s="8" t="s">
        <v>52</v>
      </c>
      <c r="J412" s="8" t="s">
        <v>153</v>
      </c>
      <c r="K412" s="8" t="s">
        <v>154</v>
      </c>
      <c r="L412" s="10">
        <v>625.96</v>
      </c>
      <c r="M412" s="8">
        <v>7</v>
      </c>
      <c r="N412" s="11">
        <v>0.05</v>
      </c>
      <c r="O412" s="10">
        <v>178.01</v>
      </c>
      <c r="P412" s="12">
        <f t="shared" si="6"/>
        <v>0.28437919355869379</v>
      </c>
    </row>
    <row r="413" spans="1:16" ht="15" customHeight="1" x14ac:dyDescent="0.25">
      <c r="A413" s="13" t="s">
        <v>987</v>
      </c>
      <c r="B413" s="14">
        <v>45130</v>
      </c>
      <c r="C413" s="14">
        <v>45134</v>
      </c>
      <c r="D413" s="13" t="s">
        <v>988</v>
      </c>
      <c r="E413" s="13" t="s">
        <v>184</v>
      </c>
      <c r="F413" s="13" t="s">
        <v>19</v>
      </c>
      <c r="G413" s="13" t="s">
        <v>43</v>
      </c>
      <c r="H413" s="13" t="s">
        <v>129</v>
      </c>
      <c r="I413" s="13" t="s">
        <v>52</v>
      </c>
      <c r="J413" s="13" t="s">
        <v>53</v>
      </c>
      <c r="K413" s="13" t="s">
        <v>278</v>
      </c>
      <c r="L413" s="15">
        <v>220.57</v>
      </c>
      <c r="M413" s="13">
        <v>1</v>
      </c>
      <c r="N413" s="16">
        <v>0</v>
      </c>
      <c r="O413" s="15">
        <v>91.32</v>
      </c>
      <c r="P413" s="17">
        <f t="shared" si="6"/>
        <v>0.41401822550664186</v>
      </c>
    </row>
    <row r="414" spans="1:16" ht="15" customHeight="1" x14ac:dyDescent="0.25">
      <c r="A414" s="8" t="s">
        <v>989</v>
      </c>
      <c r="B414" s="9">
        <v>44648</v>
      </c>
      <c r="C414" s="9">
        <v>44650</v>
      </c>
      <c r="D414" s="8" t="s">
        <v>990</v>
      </c>
      <c r="E414" s="8" t="s">
        <v>27</v>
      </c>
      <c r="F414" s="8" t="s">
        <v>28</v>
      </c>
      <c r="G414" s="8" t="s">
        <v>58</v>
      </c>
      <c r="H414" s="8" t="s">
        <v>181</v>
      </c>
      <c r="I414" s="8" t="s">
        <v>30</v>
      </c>
      <c r="J414" s="8" t="s">
        <v>31</v>
      </c>
      <c r="K414" s="8" t="s">
        <v>240</v>
      </c>
      <c r="L414" s="10">
        <v>240.43</v>
      </c>
      <c r="M414" s="8">
        <v>3</v>
      </c>
      <c r="N414" s="11">
        <v>0.2</v>
      </c>
      <c r="O414" s="10">
        <v>75.010000000000005</v>
      </c>
      <c r="P414" s="12">
        <f t="shared" si="6"/>
        <v>0.31198269766668052</v>
      </c>
    </row>
    <row r="415" spans="1:16" ht="15" customHeight="1" x14ac:dyDescent="0.25">
      <c r="A415" s="13" t="s">
        <v>991</v>
      </c>
      <c r="B415" s="14">
        <v>44793</v>
      </c>
      <c r="C415" s="14">
        <v>44795</v>
      </c>
      <c r="D415" s="13" t="s">
        <v>992</v>
      </c>
      <c r="E415" s="13" t="s">
        <v>226</v>
      </c>
      <c r="F415" s="13" t="s">
        <v>28</v>
      </c>
      <c r="G415" s="13" t="s">
        <v>58</v>
      </c>
      <c r="H415" s="13" t="s">
        <v>81</v>
      </c>
      <c r="I415" s="13" t="s">
        <v>52</v>
      </c>
      <c r="J415" s="13" t="s">
        <v>53</v>
      </c>
      <c r="K415" s="13" t="s">
        <v>54</v>
      </c>
      <c r="L415" s="15">
        <v>1857.34</v>
      </c>
      <c r="M415" s="13">
        <v>9</v>
      </c>
      <c r="N415" s="16">
        <v>0.15</v>
      </c>
      <c r="O415" s="15">
        <v>820.27</v>
      </c>
      <c r="P415" s="17">
        <f t="shared" si="6"/>
        <v>0.44163696469144048</v>
      </c>
    </row>
    <row r="416" spans="1:16" ht="15" customHeight="1" x14ac:dyDescent="0.25">
      <c r="A416" s="8" t="s">
        <v>993</v>
      </c>
      <c r="B416" s="9">
        <v>45283</v>
      </c>
      <c r="C416" s="9">
        <v>45286</v>
      </c>
      <c r="D416" s="8" t="s">
        <v>994</v>
      </c>
      <c r="E416" s="8" t="s">
        <v>35</v>
      </c>
      <c r="F416" s="8" t="s">
        <v>28</v>
      </c>
      <c r="G416" s="8" t="s">
        <v>20</v>
      </c>
      <c r="H416" s="8" t="s">
        <v>167</v>
      </c>
      <c r="I416" s="8" t="s">
        <v>22</v>
      </c>
      <c r="J416" s="8" t="s">
        <v>23</v>
      </c>
      <c r="K416" s="8" t="s">
        <v>24</v>
      </c>
      <c r="L416" s="10">
        <v>366.44</v>
      </c>
      <c r="M416" s="8">
        <v>9</v>
      </c>
      <c r="N416" s="11">
        <v>0.1</v>
      </c>
      <c r="O416" s="10">
        <v>122.31</v>
      </c>
      <c r="P416" s="12">
        <f t="shared" si="6"/>
        <v>0.33377906342102392</v>
      </c>
    </row>
    <row r="417" spans="1:16" ht="15" customHeight="1" x14ac:dyDescent="0.25">
      <c r="A417" s="13" t="s">
        <v>995</v>
      </c>
      <c r="B417" s="14">
        <v>44813</v>
      </c>
      <c r="C417" s="14">
        <v>44817</v>
      </c>
      <c r="D417" s="13" t="s">
        <v>996</v>
      </c>
      <c r="E417" s="13" t="s">
        <v>27</v>
      </c>
      <c r="F417" s="13" t="s">
        <v>28</v>
      </c>
      <c r="G417" s="13" t="s">
        <v>20</v>
      </c>
      <c r="H417" s="13" t="s">
        <v>21</v>
      </c>
      <c r="I417" s="13" t="s">
        <v>22</v>
      </c>
      <c r="J417" s="13" t="s">
        <v>76</v>
      </c>
      <c r="K417" s="13" t="s">
        <v>77</v>
      </c>
      <c r="L417" s="15">
        <v>631.29</v>
      </c>
      <c r="M417" s="13">
        <v>1</v>
      </c>
      <c r="N417" s="16">
        <v>0.3</v>
      </c>
      <c r="O417" s="15">
        <v>193.5</v>
      </c>
      <c r="P417" s="17">
        <f t="shared" si="6"/>
        <v>0.30651523071805353</v>
      </c>
    </row>
    <row r="418" spans="1:16" ht="15" customHeight="1" x14ac:dyDescent="0.25">
      <c r="A418" s="8" t="s">
        <v>997</v>
      </c>
      <c r="B418" s="9">
        <v>44863</v>
      </c>
      <c r="C418" s="9">
        <v>44866</v>
      </c>
      <c r="D418" s="8" t="s">
        <v>998</v>
      </c>
      <c r="E418" s="8" t="s">
        <v>235</v>
      </c>
      <c r="F418" s="8" t="s">
        <v>28</v>
      </c>
      <c r="G418" s="8" t="s">
        <v>36</v>
      </c>
      <c r="H418" s="8" t="s">
        <v>232</v>
      </c>
      <c r="I418" s="8" t="s">
        <v>30</v>
      </c>
      <c r="J418" s="8" t="s">
        <v>162</v>
      </c>
      <c r="K418" s="8" t="s">
        <v>284</v>
      </c>
      <c r="L418" s="10">
        <v>372.4</v>
      </c>
      <c r="M418" s="8">
        <v>10</v>
      </c>
      <c r="N418" s="11">
        <v>0.3</v>
      </c>
      <c r="O418" s="10">
        <v>113.76</v>
      </c>
      <c r="P418" s="12">
        <f t="shared" si="6"/>
        <v>0.30547798066595061</v>
      </c>
    </row>
    <row r="419" spans="1:16" ht="15" customHeight="1" x14ac:dyDescent="0.25">
      <c r="A419" s="13" t="s">
        <v>999</v>
      </c>
      <c r="B419" s="14">
        <v>44855</v>
      </c>
      <c r="C419" s="14">
        <v>44859</v>
      </c>
      <c r="D419" s="13" t="s">
        <v>1000</v>
      </c>
      <c r="E419" s="13" t="s">
        <v>80</v>
      </c>
      <c r="F419" s="13" t="s">
        <v>28</v>
      </c>
      <c r="G419" s="13" t="s">
        <v>20</v>
      </c>
      <c r="H419" s="13" t="s">
        <v>29</v>
      </c>
      <c r="I419" s="13" t="s">
        <v>22</v>
      </c>
      <c r="J419" s="13" t="s">
        <v>76</v>
      </c>
      <c r="K419" s="13" t="s">
        <v>203</v>
      </c>
      <c r="L419" s="15">
        <v>2586.71</v>
      </c>
      <c r="M419" s="13">
        <v>3</v>
      </c>
      <c r="N419" s="16">
        <v>0.1</v>
      </c>
      <c r="O419" s="15">
        <v>609.26</v>
      </c>
      <c r="P419" s="17">
        <f t="shared" si="6"/>
        <v>0.23553471398030704</v>
      </c>
    </row>
    <row r="420" spans="1:16" ht="15" customHeight="1" x14ac:dyDescent="0.25">
      <c r="A420" s="8" t="s">
        <v>1001</v>
      </c>
      <c r="B420" s="9">
        <v>45167</v>
      </c>
      <c r="C420" s="9">
        <v>45173</v>
      </c>
      <c r="D420" s="8" t="s">
        <v>1002</v>
      </c>
      <c r="E420" s="8" t="s">
        <v>135</v>
      </c>
      <c r="F420" s="8" t="s">
        <v>50</v>
      </c>
      <c r="G420" s="8" t="s">
        <v>36</v>
      </c>
      <c r="H420" s="8" t="s">
        <v>174</v>
      </c>
      <c r="I420" s="8" t="s">
        <v>22</v>
      </c>
      <c r="J420" s="8" t="s">
        <v>76</v>
      </c>
      <c r="K420" s="8" t="s">
        <v>77</v>
      </c>
      <c r="L420" s="10">
        <v>3631.92</v>
      </c>
      <c r="M420" s="8">
        <v>4</v>
      </c>
      <c r="N420" s="11">
        <v>0</v>
      </c>
      <c r="O420" s="10">
        <v>1323.06</v>
      </c>
      <c r="P420" s="12">
        <f t="shared" si="6"/>
        <v>0.36428665829643825</v>
      </c>
    </row>
    <row r="421" spans="1:16" ht="15" customHeight="1" x14ac:dyDescent="0.25">
      <c r="A421" s="13" t="s">
        <v>1003</v>
      </c>
      <c r="B421" s="14">
        <v>45069</v>
      </c>
      <c r="C421" s="14">
        <v>45076</v>
      </c>
      <c r="D421" s="13" t="s">
        <v>1004</v>
      </c>
      <c r="E421" s="13" t="s">
        <v>365</v>
      </c>
      <c r="F421" s="13" t="s">
        <v>19</v>
      </c>
      <c r="G421" s="13" t="s">
        <v>58</v>
      </c>
      <c r="H421" s="13" t="s">
        <v>181</v>
      </c>
      <c r="I421" s="13" t="s">
        <v>30</v>
      </c>
      <c r="J421" s="13" t="s">
        <v>31</v>
      </c>
      <c r="K421" s="13" t="s">
        <v>240</v>
      </c>
      <c r="L421" s="15">
        <v>228.89</v>
      </c>
      <c r="M421" s="13">
        <v>3</v>
      </c>
      <c r="N421" s="16">
        <v>0.15</v>
      </c>
      <c r="O421" s="15">
        <v>99.89</v>
      </c>
      <c r="P421" s="17">
        <f t="shared" si="6"/>
        <v>0.43641050286163663</v>
      </c>
    </row>
    <row r="422" spans="1:16" ht="15" customHeight="1" x14ac:dyDescent="0.25">
      <c r="A422" s="8" t="s">
        <v>1005</v>
      </c>
      <c r="B422" s="9">
        <v>44733</v>
      </c>
      <c r="C422" s="9">
        <v>44737</v>
      </c>
      <c r="D422" s="8" t="s">
        <v>1006</v>
      </c>
      <c r="E422" s="8" t="s">
        <v>450</v>
      </c>
      <c r="F422" s="8" t="s">
        <v>50</v>
      </c>
      <c r="G422" s="8" t="s">
        <v>58</v>
      </c>
      <c r="H422" s="8" t="s">
        <v>181</v>
      </c>
      <c r="I422" s="8" t="s">
        <v>52</v>
      </c>
      <c r="J422" s="8" t="s">
        <v>53</v>
      </c>
      <c r="K422" s="8" t="s">
        <v>199</v>
      </c>
      <c r="L422" s="10">
        <v>1861.23</v>
      </c>
      <c r="M422" s="8">
        <v>7</v>
      </c>
      <c r="N422" s="11">
        <v>0</v>
      </c>
      <c r="O422" s="10">
        <v>590.73</v>
      </c>
      <c r="P422" s="12">
        <f t="shared" si="6"/>
        <v>0.31738688931513032</v>
      </c>
    </row>
    <row r="423" spans="1:16" ht="15" customHeight="1" x14ac:dyDescent="0.25">
      <c r="A423" s="13" t="s">
        <v>1007</v>
      </c>
      <c r="B423" s="14">
        <v>45021</v>
      </c>
      <c r="C423" s="14">
        <v>45025</v>
      </c>
      <c r="D423" s="13" t="s">
        <v>1008</v>
      </c>
      <c r="E423" s="13" t="s">
        <v>312</v>
      </c>
      <c r="F423" s="13" t="s">
        <v>19</v>
      </c>
      <c r="G423" s="13" t="s">
        <v>43</v>
      </c>
      <c r="H423" s="13" t="s">
        <v>95</v>
      </c>
      <c r="I423" s="13" t="s">
        <v>30</v>
      </c>
      <c r="J423" s="13" t="s">
        <v>162</v>
      </c>
      <c r="K423" s="13" t="s">
        <v>305</v>
      </c>
      <c r="L423" s="15">
        <v>625.23</v>
      </c>
      <c r="M423" s="13">
        <v>10</v>
      </c>
      <c r="N423" s="16">
        <v>0.1</v>
      </c>
      <c r="O423" s="15">
        <v>229</v>
      </c>
      <c r="P423" s="17">
        <f t="shared" si="6"/>
        <v>0.36626521440110038</v>
      </c>
    </row>
    <row r="424" spans="1:16" ht="15" customHeight="1" x14ac:dyDescent="0.25">
      <c r="A424" s="8" t="s">
        <v>1009</v>
      </c>
      <c r="B424" s="9">
        <v>45232</v>
      </c>
      <c r="C424" s="9">
        <v>45237</v>
      </c>
      <c r="D424" s="8" t="s">
        <v>1010</v>
      </c>
      <c r="E424" s="8" t="s">
        <v>770</v>
      </c>
      <c r="F424" s="8" t="s">
        <v>28</v>
      </c>
      <c r="G424" s="8" t="s">
        <v>58</v>
      </c>
      <c r="H424" s="8" t="s">
        <v>181</v>
      </c>
      <c r="I424" s="8" t="s">
        <v>30</v>
      </c>
      <c r="J424" s="8" t="s">
        <v>60</v>
      </c>
      <c r="K424" s="8" t="s">
        <v>61</v>
      </c>
      <c r="L424" s="10">
        <v>183.09</v>
      </c>
      <c r="M424" s="8">
        <v>10</v>
      </c>
      <c r="N424" s="11">
        <v>0.15</v>
      </c>
      <c r="O424" s="10">
        <v>51.37</v>
      </c>
      <c r="P424" s="12">
        <f t="shared" si="6"/>
        <v>0.28057239608935497</v>
      </c>
    </row>
    <row r="425" spans="1:16" ht="15" customHeight="1" x14ac:dyDescent="0.25">
      <c r="A425" s="13" t="s">
        <v>1011</v>
      </c>
      <c r="B425" s="14">
        <v>45250</v>
      </c>
      <c r="C425" s="14">
        <v>45251</v>
      </c>
      <c r="D425" s="13" t="s">
        <v>1012</v>
      </c>
      <c r="E425" s="13" t="s">
        <v>18</v>
      </c>
      <c r="F425" s="13" t="s">
        <v>50</v>
      </c>
      <c r="G425" s="13" t="s">
        <v>20</v>
      </c>
      <c r="H425" s="13" t="s">
        <v>99</v>
      </c>
      <c r="I425" s="13" t="s">
        <v>22</v>
      </c>
      <c r="J425" s="13" t="s">
        <v>45</v>
      </c>
      <c r="K425" s="13" t="s">
        <v>72</v>
      </c>
      <c r="L425" s="15">
        <v>3266.5</v>
      </c>
      <c r="M425" s="13">
        <v>8</v>
      </c>
      <c r="N425" s="16">
        <v>0.1</v>
      </c>
      <c r="O425" s="15">
        <v>1264.22</v>
      </c>
      <c r="P425" s="17">
        <f t="shared" si="6"/>
        <v>0.38702586866676875</v>
      </c>
    </row>
    <row r="426" spans="1:16" ht="15" customHeight="1" x14ac:dyDescent="0.25">
      <c r="A426" s="8" t="s">
        <v>1013</v>
      </c>
      <c r="B426" s="9">
        <v>44620</v>
      </c>
      <c r="C426" s="9">
        <v>44625</v>
      </c>
      <c r="D426" s="8" t="s">
        <v>1014</v>
      </c>
      <c r="E426" s="8" t="s">
        <v>343</v>
      </c>
      <c r="F426" s="8" t="s">
        <v>28</v>
      </c>
      <c r="G426" s="8" t="s">
        <v>36</v>
      </c>
      <c r="H426" s="8" t="s">
        <v>232</v>
      </c>
      <c r="I426" s="8" t="s">
        <v>22</v>
      </c>
      <c r="J426" s="8" t="s">
        <v>45</v>
      </c>
      <c r="K426" s="8" t="s">
        <v>72</v>
      </c>
      <c r="L426" s="10">
        <v>1375.89</v>
      </c>
      <c r="M426" s="8">
        <v>3</v>
      </c>
      <c r="N426" s="11">
        <v>0</v>
      </c>
      <c r="O426" s="10">
        <v>310.95</v>
      </c>
      <c r="P426" s="12">
        <f t="shared" si="6"/>
        <v>0.22599917144539169</v>
      </c>
    </row>
    <row r="427" spans="1:16" ht="15" customHeight="1" x14ac:dyDescent="0.25">
      <c r="A427" s="13" t="s">
        <v>1015</v>
      </c>
      <c r="B427" s="14">
        <v>45040</v>
      </c>
      <c r="C427" s="14">
        <v>45046</v>
      </c>
      <c r="D427" s="13" t="s">
        <v>1016</v>
      </c>
      <c r="E427" s="13" t="s">
        <v>27</v>
      </c>
      <c r="F427" s="13" t="s">
        <v>50</v>
      </c>
      <c r="G427" s="13" t="s">
        <v>20</v>
      </c>
      <c r="H427" s="13" t="s">
        <v>167</v>
      </c>
      <c r="I427" s="13" t="s">
        <v>52</v>
      </c>
      <c r="J427" s="13" t="s">
        <v>82</v>
      </c>
      <c r="K427" s="13" t="s">
        <v>100</v>
      </c>
      <c r="L427" s="15">
        <v>389.23</v>
      </c>
      <c r="M427" s="13">
        <v>3</v>
      </c>
      <c r="N427" s="16">
        <v>0.1</v>
      </c>
      <c r="O427" s="15">
        <v>99.54</v>
      </c>
      <c r="P427" s="17">
        <f t="shared" si="6"/>
        <v>0.25573568327210133</v>
      </c>
    </row>
    <row r="428" spans="1:16" ht="15" customHeight="1" x14ac:dyDescent="0.25">
      <c r="A428" s="8" t="s">
        <v>1017</v>
      </c>
      <c r="B428" s="9">
        <v>44623</v>
      </c>
      <c r="C428" s="9">
        <v>44626</v>
      </c>
      <c r="D428" s="8" t="s">
        <v>1018</v>
      </c>
      <c r="E428" s="8" t="s">
        <v>249</v>
      </c>
      <c r="F428" s="8" t="s">
        <v>50</v>
      </c>
      <c r="G428" s="8" t="s">
        <v>43</v>
      </c>
      <c r="H428" s="8" t="s">
        <v>51</v>
      </c>
      <c r="I428" s="8" t="s">
        <v>22</v>
      </c>
      <c r="J428" s="8" t="s">
        <v>38</v>
      </c>
      <c r="K428" s="8" t="s">
        <v>39</v>
      </c>
      <c r="L428" s="10">
        <v>2299.7800000000002</v>
      </c>
      <c r="M428" s="8">
        <v>10</v>
      </c>
      <c r="N428" s="11">
        <v>0.3</v>
      </c>
      <c r="O428" s="10">
        <v>972.56</v>
      </c>
      <c r="P428" s="12">
        <f t="shared" si="6"/>
        <v>0.42289262451190979</v>
      </c>
    </row>
    <row r="429" spans="1:16" ht="15" customHeight="1" x14ac:dyDescent="0.25">
      <c r="A429" s="13" t="s">
        <v>1019</v>
      </c>
      <c r="B429" s="14">
        <v>45190</v>
      </c>
      <c r="C429" s="14">
        <v>45196</v>
      </c>
      <c r="D429" s="13" t="s">
        <v>1020</v>
      </c>
      <c r="E429" s="13" t="s">
        <v>340</v>
      </c>
      <c r="F429" s="13" t="s">
        <v>28</v>
      </c>
      <c r="G429" s="13" t="s">
        <v>20</v>
      </c>
      <c r="H429" s="13" t="s">
        <v>167</v>
      </c>
      <c r="I429" s="13" t="s">
        <v>52</v>
      </c>
      <c r="J429" s="13" t="s">
        <v>264</v>
      </c>
      <c r="K429" s="13" t="s">
        <v>281</v>
      </c>
      <c r="L429" s="15">
        <v>285.66000000000003</v>
      </c>
      <c r="M429" s="13">
        <v>2</v>
      </c>
      <c r="N429" s="16">
        <v>0.1</v>
      </c>
      <c r="O429" s="15">
        <v>73.040000000000006</v>
      </c>
      <c r="P429" s="17">
        <f t="shared" si="6"/>
        <v>0.25568858083035778</v>
      </c>
    </row>
    <row r="430" spans="1:16" ht="15" customHeight="1" x14ac:dyDescent="0.25">
      <c r="A430" s="8" t="s">
        <v>1021</v>
      </c>
      <c r="B430" s="9">
        <v>45230</v>
      </c>
      <c r="C430" s="9">
        <v>45236</v>
      </c>
      <c r="D430" s="8" t="s">
        <v>1022</v>
      </c>
      <c r="E430" s="8" t="s">
        <v>290</v>
      </c>
      <c r="F430" s="8" t="s">
        <v>28</v>
      </c>
      <c r="G430" s="8" t="s">
        <v>20</v>
      </c>
      <c r="H430" s="8" t="s">
        <v>99</v>
      </c>
      <c r="I430" s="8" t="s">
        <v>52</v>
      </c>
      <c r="J430" s="8" t="s">
        <v>82</v>
      </c>
      <c r="K430" s="8" t="s">
        <v>83</v>
      </c>
      <c r="L430" s="10">
        <v>905.1</v>
      </c>
      <c r="M430" s="8">
        <v>6</v>
      </c>
      <c r="N430" s="11">
        <v>0</v>
      </c>
      <c r="O430" s="10">
        <v>290.68</v>
      </c>
      <c r="P430" s="12">
        <f t="shared" si="6"/>
        <v>0.32115788310683901</v>
      </c>
    </row>
    <row r="431" spans="1:16" ht="15" customHeight="1" x14ac:dyDescent="0.25">
      <c r="A431" s="13" t="s">
        <v>1023</v>
      </c>
      <c r="B431" s="14">
        <v>44975</v>
      </c>
      <c r="C431" s="14">
        <v>44982</v>
      </c>
      <c r="D431" s="13" t="s">
        <v>1024</v>
      </c>
      <c r="E431" s="13" t="s">
        <v>106</v>
      </c>
      <c r="F431" s="13" t="s">
        <v>19</v>
      </c>
      <c r="G431" s="13" t="s">
        <v>20</v>
      </c>
      <c r="H431" s="13" t="s">
        <v>29</v>
      </c>
      <c r="I431" s="13" t="s">
        <v>52</v>
      </c>
      <c r="J431" s="13" t="s">
        <v>153</v>
      </c>
      <c r="K431" s="13" t="s">
        <v>221</v>
      </c>
      <c r="L431" s="15">
        <v>834.53</v>
      </c>
      <c r="M431" s="13">
        <v>10</v>
      </c>
      <c r="N431" s="16">
        <v>0.15</v>
      </c>
      <c r="O431" s="15">
        <v>305.97000000000003</v>
      </c>
      <c r="P431" s="17">
        <f t="shared" si="6"/>
        <v>0.36663750853773985</v>
      </c>
    </row>
    <row r="432" spans="1:16" ht="15" customHeight="1" x14ac:dyDescent="0.25">
      <c r="A432" s="8" t="s">
        <v>1025</v>
      </c>
      <c r="B432" s="9">
        <v>45209</v>
      </c>
      <c r="C432" s="9">
        <v>45215</v>
      </c>
      <c r="D432" s="8" t="s">
        <v>1026</v>
      </c>
      <c r="E432" s="8" t="s">
        <v>431</v>
      </c>
      <c r="F432" s="8" t="s">
        <v>28</v>
      </c>
      <c r="G432" s="8" t="s">
        <v>20</v>
      </c>
      <c r="H432" s="8" t="s">
        <v>21</v>
      </c>
      <c r="I432" s="8" t="s">
        <v>52</v>
      </c>
      <c r="J432" s="8" t="s">
        <v>264</v>
      </c>
      <c r="K432" s="8" t="s">
        <v>265</v>
      </c>
      <c r="L432" s="10">
        <v>1027.3499999999999</v>
      </c>
      <c r="M432" s="8">
        <v>5</v>
      </c>
      <c r="N432" s="11">
        <v>0</v>
      </c>
      <c r="O432" s="10">
        <v>319.89999999999998</v>
      </c>
      <c r="P432" s="12">
        <f t="shared" si="6"/>
        <v>0.31138365698155451</v>
      </c>
    </row>
    <row r="433" spans="1:16" ht="15" customHeight="1" x14ac:dyDescent="0.25">
      <c r="A433" s="13" t="s">
        <v>1027</v>
      </c>
      <c r="B433" s="14">
        <v>45274</v>
      </c>
      <c r="C433" s="14">
        <v>45278</v>
      </c>
      <c r="D433" s="13" t="s">
        <v>1028</v>
      </c>
      <c r="E433" s="13" t="s">
        <v>290</v>
      </c>
      <c r="F433" s="13" t="s">
        <v>50</v>
      </c>
      <c r="G433" s="13" t="s">
        <v>20</v>
      </c>
      <c r="H433" s="13" t="s">
        <v>21</v>
      </c>
      <c r="I433" s="13" t="s">
        <v>22</v>
      </c>
      <c r="J433" s="13" t="s">
        <v>38</v>
      </c>
      <c r="K433" s="13" t="s">
        <v>158</v>
      </c>
      <c r="L433" s="15">
        <v>1110.17</v>
      </c>
      <c r="M433" s="13">
        <v>4</v>
      </c>
      <c r="N433" s="16">
        <v>0.05</v>
      </c>
      <c r="O433" s="15">
        <v>492.54</v>
      </c>
      <c r="P433" s="17">
        <f t="shared" si="6"/>
        <v>0.44366178152895502</v>
      </c>
    </row>
    <row r="434" spans="1:16" ht="15" customHeight="1" x14ac:dyDescent="0.25">
      <c r="A434" s="8" t="s">
        <v>1029</v>
      </c>
      <c r="B434" s="9">
        <v>44626</v>
      </c>
      <c r="C434" s="9">
        <v>44633</v>
      </c>
      <c r="D434" s="8" t="s">
        <v>1030</v>
      </c>
      <c r="E434" s="8" t="s">
        <v>157</v>
      </c>
      <c r="F434" s="8" t="s">
        <v>28</v>
      </c>
      <c r="G434" s="8" t="s">
        <v>43</v>
      </c>
      <c r="H434" s="8" t="s">
        <v>129</v>
      </c>
      <c r="I434" s="8" t="s">
        <v>52</v>
      </c>
      <c r="J434" s="8" t="s">
        <v>264</v>
      </c>
      <c r="K434" s="8" t="s">
        <v>281</v>
      </c>
      <c r="L434" s="10">
        <v>945.24</v>
      </c>
      <c r="M434" s="8">
        <v>6</v>
      </c>
      <c r="N434" s="11">
        <v>0</v>
      </c>
      <c r="O434" s="10">
        <v>329.53</v>
      </c>
      <c r="P434" s="12">
        <f t="shared" si="6"/>
        <v>0.34862045618044091</v>
      </c>
    </row>
    <row r="435" spans="1:16" ht="15" customHeight="1" x14ac:dyDescent="0.25">
      <c r="A435" s="13" t="s">
        <v>1031</v>
      </c>
      <c r="B435" s="14">
        <v>45256</v>
      </c>
      <c r="C435" s="14">
        <v>45263</v>
      </c>
      <c r="D435" s="13" t="s">
        <v>1032</v>
      </c>
      <c r="E435" s="13" t="s">
        <v>316</v>
      </c>
      <c r="F435" s="13" t="s">
        <v>19</v>
      </c>
      <c r="G435" s="13" t="s">
        <v>36</v>
      </c>
      <c r="H435" s="13" t="s">
        <v>136</v>
      </c>
      <c r="I435" s="13" t="s">
        <v>22</v>
      </c>
      <c r="J435" s="13" t="s">
        <v>23</v>
      </c>
      <c r="K435" s="13" t="s">
        <v>125</v>
      </c>
      <c r="L435" s="15">
        <v>37.17</v>
      </c>
      <c r="M435" s="13">
        <v>1</v>
      </c>
      <c r="N435" s="16">
        <v>0</v>
      </c>
      <c r="O435" s="15">
        <v>14.47</v>
      </c>
      <c r="P435" s="17">
        <f t="shared" si="6"/>
        <v>0.38929244013989778</v>
      </c>
    </row>
    <row r="436" spans="1:16" ht="15" customHeight="1" x14ac:dyDescent="0.25">
      <c r="A436" s="8" t="s">
        <v>1033</v>
      </c>
      <c r="B436" s="9">
        <v>45209</v>
      </c>
      <c r="C436" s="9">
        <v>45210</v>
      </c>
      <c r="D436" s="8" t="s">
        <v>1034</v>
      </c>
      <c r="E436" s="8" t="s">
        <v>193</v>
      </c>
      <c r="F436" s="8" t="s">
        <v>50</v>
      </c>
      <c r="G436" s="8" t="s">
        <v>43</v>
      </c>
      <c r="H436" s="8" t="s">
        <v>95</v>
      </c>
      <c r="I436" s="8" t="s">
        <v>30</v>
      </c>
      <c r="J436" s="8" t="s">
        <v>60</v>
      </c>
      <c r="K436" s="8" t="s">
        <v>61</v>
      </c>
      <c r="L436" s="10">
        <v>43.84</v>
      </c>
      <c r="M436" s="8">
        <v>2</v>
      </c>
      <c r="N436" s="11">
        <v>0</v>
      </c>
      <c r="O436" s="10">
        <v>18.48</v>
      </c>
      <c r="P436" s="12">
        <f t="shared" si="6"/>
        <v>0.42153284671532842</v>
      </c>
    </row>
    <row r="437" spans="1:16" ht="15" customHeight="1" x14ac:dyDescent="0.25">
      <c r="A437" s="13" t="s">
        <v>1035</v>
      </c>
      <c r="B437" s="14">
        <v>44998</v>
      </c>
      <c r="C437" s="14">
        <v>45001</v>
      </c>
      <c r="D437" s="13" t="s">
        <v>1036</v>
      </c>
      <c r="E437" s="13" t="s">
        <v>128</v>
      </c>
      <c r="F437" s="13" t="s">
        <v>19</v>
      </c>
      <c r="G437" s="13" t="s">
        <v>58</v>
      </c>
      <c r="H437" s="13" t="s">
        <v>59</v>
      </c>
      <c r="I437" s="13" t="s">
        <v>30</v>
      </c>
      <c r="J437" s="13" t="s">
        <v>60</v>
      </c>
      <c r="K437" s="13" t="s">
        <v>140</v>
      </c>
      <c r="L437" s="15">
        <v>85.96</v>
      </c>
      <c r="M437" s="13">
        <v>4</v>
      </c>
      <c r="N437" s="16">
        <v>0</v>
      </c>
      <c r="O437" s="15">
        <v>31.47</v>
      </c>
      <c r="P437" s="17">
        <f t="shared" si="6"/>
        <v>0.36610051186598419</v>
      </c>
    </row>
    <row r="438" spans="1:16" ht="15" customHeight="1" x14ac:dyDescent="0.25">
      <c r="A438" s="8" t="s">
        <v>1037</v>
      </c>
      <c r="B438" s="9">
        <v>44987</v>
      </c>
      <c r="C438" s="9">
        <v>44989</v>
      </c>
      <c r="D438" s="8" t="s">
        <v>1038</v>
      </c>
      <c r="E438" s="8" t="s">
        <v>103</v>
      </c>
      <c r="F438" s="8" t="s">
        <v>50</v>
      </c>
      <c r="G438" s="8" t="s">
        <v>43</v>
      </c>
      <c r="H438" s="8" t="s">
        <v>51</v>
      </c>
      <c r="I438" s="8" t="s">
        <v>22</v>
      </c>
      <c r="J438" s="8" t="s">
        <v>45</v>
      </c>
      <c r="K438" s="8" t="s">
        <v>46</v>
      </c>
      <c r="L438" s="10">
        <v>868.3</v>
      </c>
      <c r="M438" s="8">
        <v>2</v>
      </c>
      <c r="N438" s="11">
        <v>0.2</v>
      </c>
      <c r="O438" s="10">
        <v>221.92</v>
      </c>
      <c r="P438" s="12">
        <f t="shared" si="6"/>
        <v>0.25557986870897154</v>
      </c>
    </row>
    <row r="439" spans="1:16" ht="15" customHeight="1" x14ac:dyDescent="0.25">
      <c r="A439" s="13" t="s">
        <v>1039</v>
      </c>
      <c r="B439" s="14">
        <v>44568</v>
      </c>
      <c r="C439" s="14">
        <v>44569</v>
      </c>
      <c r="D439" s="13" t="s">
        <v>1040</v>
      </c>
      <c r="E439" s="13" t="s">
        <v>157</v>
      </c>
      <c r="F439" s="13" t="s">
        <v>28</v>
      </c>
      <c r="G439" s="13" t="s">
        <v>36</v>
      </c>
      <c r="H439" s="13" t="s">
        <v>232</v>
      </c>
      <c r="I439" s="13" t="s">
        <v>30</v>
      </c>
      <c r="J439" s="13" t="s">
        <v>162</v>
      </c>
      <c r="K439" s="13" t="s">
        <v>305</v>
      </c>
      <c r="L439" s="15">
        <v>485.56</v>
      </c>
      <c r="M439" s="13">
        <v>8</v>
      </c>
      <c r="N439" s="16">
        <v>0.05</v>
      </c>
      <c r="O439" s="15">
        <v>201.13</v>
      </c>
      <c r="P439" s="17">
        <f t="shared" si="6"/>
        <v>0.41422275310981133</v>
      </c>
    </row>
    <row r="440" spans="1:16" ht="15" customHeight="1" x14ac:dyDescent="0.25">
      <c r="A440" s="8" t="s">
        <v>1041</v>
      </c>
      <c r="B440" s="9">
        <v>44983</v>
      </c>
      <c r="C440" s="9">
        <v>44985</v>
      </c>
      <c r="D440" s="8" t="s">
        <v>1042</v>
      </c>
      <c r="E440" s="8" t="s">
        <v>49</v>
      </c>
      <c r="F440" s="8" t="s">
        <v>28</v>
      </c>
      <c r="G440" s="8" t="s">
        <v>36</v>
      </c>
      <c r="H440" s="8" t="s">
        <v>232</v>
      </c>
      <c r="I440" s="8" t="s">
        <v>22</v>
      </c>
      <c r="J440" s="8" t="s">
        <v>38</v>
      </c>
      <c r="K440" s="8" t="s">
        <v>158</v>
      </c>
      <c r="L440" s="10">
        <v>652.17999999999995</v>
      </c>
      <c r="M440" s="8">
        <v>2</v>
      </c>
      <c r="N440" s="11">
        <v>0.1</v>
      </c>
      <c r="O440" s="10">
        <v>236.77</v>
      </c>
      <c r="P440" s="12">
        <f t="shared" si="6"/>
        <v>0.36304394492318076</v>
      </c>
    </row>
    <row r="441" spans="1:16" ht="15" customHeight="1" x14ac:dyDescent="0.25">
      <c r="A441" s="13" t="s">
        <v>1043</v>
      </c>
      <c r="B441" s="14">
        <v>44758</v>
      </c>
      <c r="C441" s="14">
        <v>44759</v>
      </c>
      <c r="D441" s="13" t="s">
        <v>1044</v>
      </c>
      <c r="E441" s="13" t="s">
        <v>198</v>
      </c>
      <c r="F441" s="13" t="s">
        <v>28</v>
      </c>
      <c r="G441" s="13" t="s">
        <v>20</v>
      </c>
      <c r="H441" s="13" t="s">
        <v>21</v>
      </c>
      <c r="I441" s="13" t="s">
        <v>30</v>
      </c>
      <c r="J441" s="13" t="s">
        <v>60</v>
      </c>
      <c r="K441" s="13" t="s">
        <v>140</v>
      </c>
      <c r="L441" s="15">
        <v>66.650000000000006</v>
      </c>
      <c r="M441" s="13">
        <v>4</v>
      </c>
      <c r="N441" s="16">
        <v>0.05</v>
      </c>
      <c r="O441" s="15">
        <v>28.11</v>
      </c>
      <c r="P441" s="17">
        <f t="shared" si="6"/>
        <v>0.42175543885971489</v>
      </c>
    </row>
    <row r="442" spans="1:16" ht="15" customHeight="1" x14ac:dyDescent="0.25">
      <c r="A442" s="8" t="s">
        <v>1045</v>
      </c>
      <c r="B442" s="9">
        <v>44742</v>
      </c>
      <c r="C442" s="9">
        <v>44744</v>
      </c>
      <c r="D442" s="8" t="s">
        <v>1046</v>
      </c>
      <c r="E442" s="8" t="s">
        <v>215</v>
      </c>
      <c r="F442" s="8" t="s">
        <v>28</v>
      </c>
      <c r="G442" s="8" t="s">
        <v>20</v>
      </c>
      <c r="H442" s="8" t="s">
        <v>99</v>
      </c>
      <c r="I442" s="8" t="s">
        <v>52</v>
      </c>
      <c r="J442" s="8" t="s">
        <v>82</v>
      </c>
      <c r="K442" s="8" t="s">
        <v>83</v>
      </c>
      <c r="L442" s="10">
        <v>566.29</v>
      </c>
      <c r="M442" s="8">
        <v>7</v>
      </c>
      <c r="N442" s="11">
        <v>0.3</v>
      </c>
      <c r="O442" s="10">
        <v>248.7</v>
      </c>
      <c r="P442" s="12">
        <f t="shared" si="6"/>
        <v>0.43917427466492431</v>
      </c>
    </row>
    <row r="443" spans="1:16" ht="15" customHeight="1" x14ac:dyDescent="0.25">
      <c r="A443" s="13" t="s">
        <v>1047</v>
      </c>
      <c r="B443" s="14">
        <v>44723</v>
      </c>
      <c r="C443" s="14">
        <v>44730</v>
      </c>
      <c r="D443" s="13" t="s">
        <v>1048</v>
      </c>
      <c r="E443" s="13" t="s">
        <v>90</v>
      </c>
      <c r="F443" s="13" t="s">
        <v>28</v>
      </c>
      <c r="G443" s="13" t="s">
        <v>20</v>
      </c>
      <c r="H443" s="13" t="s">
        <v>167</v>
      </c>
      <c r="I443" s="13" t="s">
        <v>22</v>
      </c>
      <c r="J443" s="13" t="s">
        <v>45</v>
      </c>
      <c r="K443" s="13" t="s">
        <v>46</v>
      </c>
      <c r="L443" s="15">
        <v>3417.14</v>
      </c>
      <c r="M443" s="13">
        <v>8</v>
      </c>
      <c r="N443" s="16">
        <v>0.15</v>
      </c>
      <c r="O443" s="15">
        <v>1179.71</v>
      </c>
      <c r="P443" s="17">
        <f t="shared" si="6"/>
        <v>0.34523314818825102</v>
      </c>
    </row>
    <row r="444" spans="1:16" ht="15" customHeight="1" x14ac:dyDescent="0.25">
      <c r="A444" s="8" t="s">
        <v>1049</v>
      </c>
      <c r="B444" s="9">
        <v>44895</v>
      </c>
      <c r="C444" s="9">
        <v>44897</v>
      </c>
      <c r="D444" s="8" t="s">
        <v>1050</v>
      </c>
      <c r="E444" s="8" t="s">
        <v>212</v>
      </c>
      <c r="F444" s="8" t="s">
        <v>28</v>
      </c>
      <c r="G444" s="8" t="s">
        <v>20</v>
      </c>
      <c r="H444" s="8" t="s">
        <v>29</v>
      </c>
      <c r="I444" s="8" t="s">
        <v>52</v>
      </c>
      <c r="J444" s="8" t="s">
        <v>53</v>
      </c>
      <c r="K444" s="8" t="s">
        <v>199</v>
      </c>
      <c r="L444" s="10">
        <v>618.16</v>
      </c>
      <c r="M444" s="8">
        <v>4</v>
      </c>
      <c r="N444" s="11">
        <v>0.3</v>
      </c>
      <c r="O444" s="10">
        <v>269.77</v>
      </c>
      <c r="P444" s="12">
        <f t="shared" si="6"/>
        <v>0.4364080496958716</v>
      </c>
    </row>
    <row r="445" spans="1:16" ht="15" customHeight="1" x14ac:dyDescent="0.25">
      <c r="A445" s="13" t="s">
        <v>1051</v>
      </c>
      <c r="B445" s="14">
        <v>45186</v>
      </c>
      <c r="C445" s="14">
        <v>45190</v>
      </c>
      <c r="D445" s="13" t="s">
        <v>1052</v>
      </c>
      <c r="E445" s="13" t="s">
        <v>161</v>
      </c>
      <c r="F445" s="13" t="s">
        <v>50</v>
      </c>
      <c r="G445" s="13" t="s">
        <v>36</v>
      </c>
      <c r="H445" s="13" t="s">
        <v>174</v>
      </c>
      <c r="I445" s="13" t="s">
        <v>22</v>
      </c>
      <c r="J445" s="13" t="s">
        <v>38</v>
      </c>
      <c r="K445" s="13" t="s">
        <v>158</v>
      </c>
      <c r="L445" s="15">
        <v>1306.8399999999999</v>
      </c>
      <c r="M445" s="13">
        <v>4</v>
      </c>
      <c r="N445" s="16">
        <v>0.1</v>
      </c>
      <c r="O445" s="15">
        <v>522.01</v>
      </c>
      <c r="P445" s="17">
        <f t="shared" si="6"/>
        <v>0.39944446144899148</v>
      </c>
    </row>
    <row r="446" spans="1:16" ht="15" customHeight="1" x14ac:dyDescent="0.25">
      <c r="A446" s="8" t="s">
        <v>1053</v>
      </c>
      <c r="B446" s="9">
        <v>44849</v>
      </c>
      <c r="C446" s="9">
        <v>44851</v>
      </c>
      <c r="D446" s="8" t="s">
        <v>1054</v>
      </c>
      <c r="E446" s="8" t="s">
        <v>447</v>
      </c>
      <c r="F446" s="8" t="s">
        <v>50</v>
      </c>
      <c r="G446" s="8" t="s">
        <v>20</v>
      </c>
      <c r="H446" s="8" t="s">
        <v>167</v>
      </c>
      <c r="I446" s="8" t="s">
        <v>52</v>
      </c>
      <c r="J446" s="8" t="s">
        <v>53</v>
      </c>
      <c r="K446" s="8" t="s">
        <v>199</v>
      </c>
      <c r="L446" s="10">
        <v>1248.8800000000001</v>
      </c>
      <c r="M446" s="8">
        <v>4</v>
      </c>
      <c r="N446" s="11">
        <v>0</v>
      </c>
      <c r="O446" s="10">
        <v>315.48</v>
      </c>
      <c r="P446" s="12">
        <f t="shared" si="6"/>
        <v>0.25261033886362178</v>
      </c>
    </row>
    <row r="447" spans="1:16" ht="15" customHeight="1" x14ac:dyDescent="0.25">
      <c r="A447" s="13" t="s">
        <v>1055</v>
      </c>
      <c r="B447" s="14">
        <v>44650</v>
      </c>
      <c r="C447" s="14">
        <v>44654</v>
      </c>
      <c r="D447" s="13" t="s">
        <v>1056</v>
      </c>
      <c r="E447" s="13" t="s">
        <v>447</v>
      </c>
      <c r="F447" s="13" t="s">
        <v>28</v>
      </c>
      <c r="G447" s="13" t="s">
        <v>58</v>
      </c>
      <c r="H447" s="13" t="s">
        <v>87</v>
      </c>
      <c r="I447" s="13" t="s">
        <v>52</v>
      </c>
      <c r="J447" s="13" t="s">
        <v>153</v>
      </c>
      <c r="K447" s="13" t="s">
        <v>154</v>
      </c>
      <c r="L447" s="15">
        <v>100.77</v>
      </c>
      <c r="M447" s="13">
        <v>1</v>
      </c>
      <c r="N447" s="16">
        <v>0.05</v>
      </c>
      <c r="O447" s="15">
        <v>39.1</v>
      </c>
      <c r="P447" s="17">
        <f t="shared" si="6"/>
        <v>0.3880123052495783</v>
      </c>
    </row>
    <row r="448" spans="1:16" ht="15" customHeight="1" x14ac:dyDescent="0.25">
      <c r="A448" s="8" t="s">
        <v>1057</v>
      </c>
      <c r="B448" s="9">
        <v>45167</v>
      </c>
      <c r="C448" s="9">
        <v>45169</v>
      </c>
      <c r="D448" s="8" t="s">
        <v>1058</v>
      </c>
      <c r="E448" s="8" t="s">
        <v>198</v>
      </c>
      <c r="F448" s="8" t="s">
        <v>19</v>
      </c>
      <c r="G448" s="8" t="s">
        <v>20</v>
      </c>
      <c r="H448" s="8" t="s">
        <v>167</v>
      </c>
      <c r="I448" s="8" t="s">
        <v>22</v>
      </c>
      <c r="J448" s="8" t="s">
        <v>38</v>
      </c>
      <c r="K448" s="8" t="s">
        <v>158</v>
      </c>
      <c r="L448" s="10">
        <v>1993.25</v>
      </c>
      <c r="M448" s="8">
        <v>9</v>
      </c>
      <c r="N448" s="11">
        <v>0.2</v>
      </c>
      <c r="O448" s="10">
        <v>658.14</v>
      </c>
      <c r="P448" s="12">
        <f t="shared" si="6"/>
        <v>0.33018437225636521</v>
      </c>
    </row>
    <row r="449" spans="1:16" ht="15" customHeight="1" x14ac:dyDescent="0.25">
      <c r="A449" s="13" t="s">
        <v>1059</v>
      </c>
      <c r="B449" s="14">
        <v>44808</v>
      </c>
      <c r="C449" s="14">
        <v>44809</v>
      </c>
      <c r="D449" s="13" t="s">
        <v>1060</v>
      </c>
      <c r="E449" s="13" t="s">
        <v>71</v>
      </c>
      <c r="F449" s="13" t="s">
        <v>19</v>
      </c>
      <c r="G449" s="13" t="s">
        <v>20</v>
      </c>
      <c r="H449" s="13" t="s">
        <v>167</v>
      </c>
      <c r="I449" s="13" t="s">
        <v>22</v>
      </c>
      <c r="J449" s="13" t="s">
        <v>76</v>
      </c>
      <c r="K449" s="13" t="s">
        <v>203</v>
      </c>
      <c r="L449" s="15">
        <v>3880.88</v>
      </c>
      <c r="M449" s="13">
        <v>4</v>
      </c>
      <c r="N449" s="16">
        <v>0</v>
      </c>
      <c r="O449" s="15">
        <v>1730.94</v>
      </c>
      <c r="P449" s="17">
        <f t="shared" si="6"/>
        <v>0.44601739811589125</v>
      </c>
    </row>
    <row r="450" spans="1:16" ht="15" customHeight="1" x14ac:dyDescent="0.25">
      <c r="A450" s="8" t="s">
        <v>1061</v>
      </c>
      <c r="B450" s="9">
        <v>45146</v>
      </c>
      <c r="C450" s="9">
        <v>45152</v>
      </c>
      <c r="D450" s="8" t="s">
        <v>1062</v>
      </c>
      <c r="E450" s="8" t="s">
        <v>27</v>
      </c>
      <c r="F450" s="8" t="s">
        <v>50</v>
      </c>
      <c r="G450" s="8" t="s">
        <v>20</v>
      </c>
      <c r="H450" s="8" t="s">
        <v>167</v>
      </c>
      <c r="I450" s="8" t="s">
        <v>22</v>
      </c>
      <c r="J450" s="8" t="s">
        <v>38</v>
      </c>
      <c r="K450" s="8" t="s">
        <v>39</v>
      </c>
      <c r="L450" s="10">
        <v>2173.56</v>
      </c>
      <c r="M450" s="8">
        <v>6</v>
      </c>
      <c r="N450" s="11">
        <v>0</v>
      </c>
      <c r="O450" s="10">
        <v>510.58</v>
      </c>
      <c r="P450" s="12">
        <f t="shared" ref="P450:P513" si="7">O450/L450</f>
        <v>0.23490494856364674</v>
      </c>
    </row>
    <row r="451" spans="1:16" ht="15" customHeight="1" x14ac:dyDescent="0.25">
      <c r="A451" s="13" t="s">
        <v>1063</v>
      </c>
      <c r="B451" s="14">
        <v>45105</v>
      </c>
      <c r="C451" s="14">
        <v>45106</v>
      </c>
      <c r="D451" s="13" t="s">
        <v>1064</v>
      </c>
      <c r="E451" s="13" t="s">
        <v>475</v>
      </c>
      <c r="F451" s="13" t="s">
        <v>50</v>
      </c>
      <c r="G451" s="13" t="s">
        <v>43</v>
      </c>
      <c r="H451" s="13" t="s">
        <v>129</v>
      </c>
      <c r="I451" s="13" t="s">
        <v>30</v>
      </c>
      <c r="J451" s="13" t="s">
        <v>60</v>
      </c>
      <c r="K451" s="13" t="s">
        <v>61</v>
      </c>
      <c r="L451" s="15">
        <v>34.56</v>
      </c>
      <c r="M451" s="13">
        <v>2</v>
      </c>
      <c r="N451" s="16">
        <v>0.15</v>
      </c>
      <c r="O451" s="15">
        <v>9.1999999999999993</v>
      </c>
      <c r="P451" s="17">
        <f t="shared" si="7"/>
        <v>0.26620370370370366</v>
      </c>
    </row>
    <row r="452" spans="1:16" ht="15" customHeight="1" x14ac:dyDescent="0.25">
      <c r="A452" s="8" t="s">
        <v>1065</v>
      </c>
      <c r="B452" s="9">
        <v>44614</v>
      </c>
      <c r="C452" s="9">
        <v>44615</v>
      </c>
      <c r="D452" s="8" t="s">
        <v>1066</v>
      </c>
      <c r="E452" s="8" t="s">
        <v>402</v>
      </c>
      <c r="F452" s="8" t="s">
        <v>50</v>
      </c>
      <c r="G452" s="8" t="s">
        <v>58</v>
      </c>
      <c r="H452" s="8" t="s">
        <v>59</v>
      </c>
      <c r="I452" s="8" t="s">
        <v>30</v>
      </c>
      <c r="J452" s="8" t="s">
        <v>114</v>
      </c>
      <c r="K452" s="8" t="s">
        <v>236</v>
      </c>
      <c r="L452" s="10">
        <v>66.900000000000006</v>
      </c>
      <c r="M452" s="8">
        <v>6</v>
      </c>
      <c r="N452" s="11">
        <v>0</v>
      </c>
      <c r="O452" s="10">
        <v>20.73</v>
      </c>
      <c r="P452" s="12">
        <f t="shared" si="7"/>
        <v>0.30986547085201793</v>
      </c>
    </row>
    <row r="453" spans="1:16" ht="15" customHeight="1" x14ac:dyDescent="0.25">
      <c r="A453" s="13" t="s">
        <v>1067</v>
      </c>
      <c r="B453" s="14">
        <v>44806</v>
      </c>
      <c r="C453" s="14">
        <v>44811</v>
      </c>
      <c r="D453" s="13" t="s">
        <v>1068</v>
      </c>
      <c r="E453" s="13" t="s">
        <v>235</v>
      </c>
      <c r="F453" s="13" t="s">
        <v>28</v>
      </c>
      <c r="G453" s="13" t="s">
        <v>20</v>
      </c>
      <c r="H453" s="13" t="s">
        <v>167</v>
      </c>
      <c r="I453" s="13" t="s">
        <v>30</v>
      </c>
      <c r="J453" s="13" t="s">
        <v>60</v>
      </c>
      <c r="K453" s="13" t="s">
        <v>61</v>
      </c>
      <c r="L453" s="15">
        <v>64.44</v>
      </c>
      <c r="M453" s="13">
        <v>4</v>
      </c>
      <c r="N453" s="16">
        <v>0.1</v>
      </c>
      <c r="O453" s="15">
        <v>20.89</v>
      </c>
      <c r="P453" s="17">
        <f t="shared" si="7"/>
        <v>0.32417752948479206</v>
      </c>
    </row>
    <row r="454" spans="1:16" ht="15" customHeight="1" x14ac:dyDescent="0.25">
      <c r="A454" s="8" t="s">
        <v>1069</v>
      </c>
      <c r="B454" s="9">
        <v>44626</v>
      </c>
      <c r="C454" s="9">
        <v>44629</v>
      </c>
      <c r="D454" s="8" t="s">
        <v>1070</v>
      </c>
      <c r="E454" s="8" t="s">
        <v>193</v>
      </c>
      <c r="F454" s="8" t="s">
        <v>50</v>
      </c>
      <c r="G454" s="8" t="s">
        <v>43</v>
      </c>
      <c r="H454" s="8" t="s">
        <v>129</v>
      </c>
      <c r="I454" s="8" t="s">
        <v>30</v>
      </c>
      <c r="J454" s="8" t="s">
        <v>114</v>
      </c>
      <c r="K454" s="8" t="s">
        <v>236</v>
      </c>
      <c r="L454" s="10">
        <v>112.27</v>
      </c>
      <c r="M454" s="8">
        <v>9</v>
      </c>
      <c r="N454" s="11">
        <v>0.1</v>
      </c>
      <c r="O454" s="10">
        <v>37.840000000000003</v>
      </c>
      <c r="P454" s="12">
        <f t="shared" si="7"/>
        <v>0.33704462456577899</v>
      </c>
    </row>
    <row r="455" spans="1:16" ht="15" customHeight="1" x14ac:dyDescent="0.25">
      <c r="A455" s="13" t="s">
        <v>1071</v>
      </c>
      <c r="B455" s="14">
        <v>45030</v>
      </c>
      <c r="C455" s="14">
        <v>45031</v>
      </c>
      <c r="D455" s="13" t="s">
        <v>1072</v>
      </c>
      <c r="E455" s="13" t="s">
        <v>75</v>
      </c>
      <c r="F455" s="13" t="s">
        <v>19</v>
      </c>
      <c r="G455" s="13" t="s">
        <v>20</v>
      </c>
      <c r="H455" s="13" t="s">
        <v>167</v>
      </c>
      <c r="I455" s="13" t="s">
        <v>52</v>
      </c>
      <c r="J455" s="13" t="s">
        <v>264</v>
      </c>
      <c r="K455" s="13" t="s">
        <v>281</v>
      </c>
      <c r="L455" s="15">
        <v>526.04999999999995</v>
      </c>
      <c r="M455" s="13">
        <v>3</v>
      </c>
      <c r="N455" s="16">
        <v>0</v>
      </c>
      <c r="O455" s="15">
        <v>171.45</v>
      </c>
      <c r="P455" s="17">
        <f t="shared" si="7"/>
        <v>0.32591958939264332</v>
      </c>
    </row>
    <row r="456" spans="1:16" ht="15" customHeight="1" x14ac:dyDescent="0.25">
      <c r="A456" s="8" t="s">
        <v>1073</v>
      </c>
      <c r="B456" s="9">
        <v>44862</v>
      </c>
      <c r="C456" s="9">
        <v>44866</v>
      </c>
      <c r="D456" s="8" t="s">
        <v>1074</v>
      </c>
      <c r="E456" s="8" t="s">
        <v>475</v>
      </c>
      <c r="F456" s="8" t="s">
        <v>50</v>
      </c>
      <c r="G456" s="8" t="s">
        <v>36</v>
      </c>
      <c r="H456" s="8" t="s">
        <v>174</v>
      </c>
      <c r="I456" s="8" t="s">
        <v>52</v>
      </c>
      <c r="J456" s="8" t="s">
        <v>153</v>
      </c>
      <c r="K456" s="8" t="s">
        <v>411</v>
      </c>
      <c r="L456" s="10">
        <v>88.31</v>
      </c>
      <c r="M456" s="8">
        <v>1</v>
      </c>
      <c r="N456" s="11">
        <v>0</v>
      </c>
      <c r="O456" s="10">
        <v>39.25</v>
      </c>
      <c r="P456" s="12">
        <f t="shared" si="7"/>
        <v>0.44445702638432794</v>
      </c>
    </row>
    <row r="457" spans="1:16" ht="15" customHeight="1" x14ac:dyDescent="0.25">
      <c r="A457" s="13" t="s">
        <v>1075</v>
      </c>
      <c r="B457" s="14">
        <v>44983</v>
      </c>
      <c r="C457" s="14">
        <v>44988</v>
      </c>
      <c r="D457" s="13" t="s">
        <v>1076</v>
      </c>
      <c r="E457" s="13" t="s">
        <v>94</v>
      </c>
      <c r="F457" s="13" t="s">
        <v>50</v>
      </c>
      <c r="G457" s="13" t="s">
        <v>43</v>
      </c>
      <c r="H457" s="13" t="s">
        <v>44</v>
      </c>
      <c r="I457" s="13" t="s">
        <v>30</v>
      </c>
      <c r="J457" s="13" t="s">
        <v>31</v>
      </c>
      <c r="K457" s="13" t="s">
        <v>65</v>
      </c>
      <c r="L457" s="15">
        <v>472.5</v>
      </c>
      <c r="M457" s="13">
        <v>5</v>
      </c>
      <c r="N457" s="16">
        <v>0.1</v>
      </c>
      <c r="O457" s="15">
        <v>192.34</v>
      </c>
      <c r="P457" s="17">
        <f t="shared" si="7"/>
        <v>0.40706878306878308</v>
      </c>
    </row>
    <row r="458" spans="1:16" ht="15" customHeight="1" x14ac:dyDescent="0.25">
      <c r="A458" s="8" t="s">
        <v>1077</v>
      </c>
      <c r="B458" s="9">
        <v>44942</v>
      </c>
      <c r="C458" s="9">
        <v>44945</v>
      </c>
      <c r="D458" s="8" t="s">
        <v>1078</v>
      </c>
      <c r="E458" s="8" t="s">
        <v>135</v>
      </c>
      <c r="F458" s="8" t="s">
        <v>50</v>
      </c>
      <c r="G458" s="8" t="s">
        <v>20</v>
      </c>
      <c r="H458" s="8" t="s">
        <v>29</v>
      </c>
      <c r="I458" s="8" t="s">
        <v>52</v>
      </c>
      <c r="J458" s="8" t="s">
        <v>153</v>
      </c>
      <c r="K458" s="8" t="s">
        <v>221</v>
      </c>
      <c r="L458" s="10">
        <v>1025.3699999999999</v>
      </c>
      <c r="M458" s="8">
        <v>10</v>
      </c>
      <c r="N458" s="11">
        <v>0.1</v>
      </c>
      <c r="O458" s="10">
        <v>414.69</v>
      </c>
      <c r="P458" s="12">
        <f t="shared" si="7"/>
        <v>0.40442962052722436</v>
      </c>
    </row>
    <row r="459" spans="1:16" ht="15" customHeight="1" x14ac:dyDescent="0.25">
      <c r="A459" s="13" t="s">
        <v>1079</v>
      </c>
      <c r="B459" s="14">
        <v>44805</v>
      </c>
      <c r="C459" s="14">
        <v>44806</v>
      </c>
      <c r="D459" s="13" t="s">
        <v>1080</v>
      </c>
      <c r="E459" s="13" t="s">
        <v>402</v>
      </c>
      <c r="F459" s="13" t="s">
        <v>28</v>
      </c>
      <c r="G459" s="13" t="s">
        <v>20</v>
      </c>
      <c r="H459" s="13" t="s">
        <v>21</v>
      </c>
      <c r="I459" s="13" t="s">
        <v>22</v>
      </c>
      <c r="J459" s="13" t="s">
        <v>38</v>
      </c>
      <c r="K459" s="13" t="s">
        <v>107</v>
      </c>
      <c r="L459" s="15">
        <v>1791.42</v>
      </c>
      <c r="M459" s="13">
        <v>6</v>
      </c>
      <c r="N459" s="16">
        <v>0</v>
      </c>
      <c r="O459" s="15">
        <v>508.07</v>
      </c>
      <c r="P459" s="17">
        <f t="shared" si="7"/>
        <v>0.28361299974322046</v>
      </c>
    </row>
    <row r="460" spans="1:16" ht="15" customHeight="1" x14ac:dyDescent="0.25">
      <c r="A460" s="8" t="s">
        <v>1081</v>
      </c>
      <c r="B460" s="9">
        <v>45021</v>
      </c>
      <c r="C460" s="9">
        <v>45026</v>
      </c>
      <c r="D460" s="8" t="s">
        <v>1082</v>
      </c>
      <c r="E460" s="8" t="s">
        <v>475</v>
      </c>
      <c r="F460" s="8" t="s">
        <v>19</v>
      </c>
      <c r="G460" s="8" t="s">
        <v>36</v>
      </c>
      <c r="H460" s="8" t="s">
        <v>37</v>
      </c>
      <c r="I460" s="8" t="s">
        <v>22</v>
      </c>
      <c r="J460" s="8" t="s">
        <v>38</v>
      </c>
      <c r="K460" s="8" t="s">
        <v>107</v>
      </c>
      <c r="L460" s="10">
        <v>1041.6199999999999</v>
      </c>
      <c r="M460" s="8">
        <v>3</v>
      </c>
      <c r="N460" s="11">
        <v>0.15</v>
      </c>
      <c r="O460" s="10">
        <v>428.09</v>
      </c>
      <c r="P460" s="12">
        <f t="shared" si="7"/>
        <v>0.41098481211958299</v>
      </c>
    </row>
    <row r="461" spans="1:16" ht="15" customHeight="1" x14ac:dyDescent="0.25">
      <c r="A461" s="13" t="s">
        <v>1083</v>
      </c>
      <c r="B461" s="14">
        <v>45224</v>
      </c>
      <c r="C461" s="14">
        <v>45230</v>
      </c>
      <c r="D461" s="13" t="s">
        <v>1084</v>
      </c>
      <c r="E461" s="13" t="s">
        <v>418</v>
      </c>
      <c r="F461" s="13" t="s">
        <v>50</v>
      </c>
      <c r="G461" s="13" t="s">
        <v>43</v>
      </c>
      <c r="H461" s="13" t="s">
        <v>129</v>
      </c>
      <c r="I461" s="13" t="s">
        <v>30</v>
      </c>
      <c r="J461" s="13" t="s">
        <v>60</v>
      </c>
      <c r="K461" s="13" t="s">
        <v>61</v>
      </c>
      <c r="L461" s="15">
        <v>144.32</v>
      </c>
      <c r="M461" s="13">
        <v>8</v>
      </c>
      <c r="N461" s="16">
        <v>0</v>
      </c>
      <c r="O461" s="15">
        <v>38.549999999999997</v>
      </c>
      <c r="P461" s="17">
        <f t="shared" si="7"/>
        <v>0.26711474501108645</v>
      </c>
    </row>
    <row r="462" spans="1:16" ht="15" customHeight="1" x14ac:dyDescent="0.25">
      <c r="A462" s="8" t="s">
        <v>1085</v>
      </c>
      <c r="B462" s="9">
        <v>44877</v>
      </c>
      <c r="C462" s="9">
        <v>44878</v>
      </c>
      <c r="D462" s="8" t="s">
        <v>1086</v>
      </c>
      <c r="E462" s="8" t="s">
        <v>273</v>
      </c>
      <c r="F462" s="8" t="s">
        <v>50</v>
      </c>
      <c r="G462" s="8" t="s">
        <v>58</v>
      </c>
      <c r="H462" s="8" t="s">
        <v>87</v>
      </c>
      <c r="I462" s="8" t="s">
        <v>52</v>
      </c>
      <c r="J462" s="8" t="s">
        <v>264</v>
      </c>
      <c r="K462" s="8" t="s">
        <v>265</v>
      </c>
      <c r="L462" s="10">
        <v>192.15</v>
      </c>
      <c r="M462" s="8">
        <v>1</v>
      </c>
      <c r="N462" s="11">
        <v>0.05</v>
      </c>
      <c r="O462" s="10">
        <v>58.44</v>
      </c>
      <c r="P462" s="12">
        <f t="shared" si="7"/>
        <v>0.30413739266198281</v>
      </c>
    </row>
    <row r="463" spans="1:16" ht="15" customHeight="1" x14ac:dyDescent="0.25">
      <c r="A463" s="13" t="s">
        <v>1087</v>
      </c>
      <c r="B463" s="14">
        <v>44585</v>
      </c>
      <c r="C463" s="14">
        <v>44586</v>
      </c>
      <c r="D463" s="13" t="s">
        <v>1088</v>
      </c>
      <c r="E463" s="13" t="s">
        <v>184</v>
      </c>
      <c r="F463" s="13" t="s">
        <v>28</v>
      </c>
      <c r="G463" s="13" t="s">
        <v>58</v>
      </c>
      <c r="H463" s="13" t="s">
        <v>81</v>
      </c>
      <c r="I463" s="13" t="s">
        <v>52</v>
      </c>
      <c r="J463" s="13" t="s">
        <v>53</v>
      </c>
      <c r="K463" s="13" t="s">
        <v>199</v>
      </c>
      <c r="L463" s="15">
        <v>1682.16</v>
      </c>
      <c r="M463" s="13">
        <v>6</v>
      </c>
      <c r="N463" s="16">
        <v>0</v>
      </c>
      <c r="O463" s="15">
        <v>374.93</v>
      </c>
      <c r="P463" s="17">
        <f t="shared" si="7"/>
        <v>0.22288605126741806</v>
      </c>
    </row>
    <row r="464" spans="1:16" ht="15" customHeight="1" x14ac:dyDescent="0.25">
      <c r="A464" s="8" t="s">
        <v>1089</v>
      </c>
      <c r="B464" s="9">
        <v>44999</v>
      </c>
      <c r="C464" s="9">
        <v>45002</v>
      </c>
      <c r="D464" s="8" t="s">
        <v>1090</v>
      </c>
      <c r="E464" s="8" t="s">
        <v>270</v>
      </c>
      <c r="F464" s="8" t="s">
        <v>19</v>
      </c>
      <c r="G464" s="8" t="s">
        <v>58</v>
      </c>
      <c r="H464" s="8" t="s">
        <v>59</v>
      </c>
      <c r="I464" s="8" t="s">
        <v>52</v>
      </c>
      <c r="J464" s="8" t="s">
        <v>82</v>
      </c>
      <c r="K464" s="8" t="s">
        <v>100</v>
      </c>
      <c r="L464" s="10">
        <v>773.95</v>
      </c>
      <c r="M464" s="8">
        <v>5</v>
      </c>
      <c r="N464" s="11">
        <v>0</v>
      </c>
      <c r="O464" s="10">
        <v>306.54000000000002</v>
      </c>
      <c r="P464" s="12">
        <f t="shared" si="7"/>
        <v>0.39607209768072871</v>
      </c>
    </row>
    <row r="465" spans="1:16" ht="15" customHeight="1" x14ac:dyDescent="0.25">
      <c r="A465" s="13" t="s">
        <v>1091</v>
      </c>
      <c r="B465" s="14">
        <v>44857</v>
      </c>
      <c r="C465" s="14">
        <v>44859</v>
      </c>
      <c r="D465" s="13" t="s">
        <v>1092</v>
      </c>
      <c r="E465" s="13" t="s">
        <v>365</v>
      </c>
      <c r="F465" s="13" t="s">
        <v>19</v>
      </c>
      <c r="G465" s="13" t="s">
        <v>58</v>
      </c>
      <c r="H465" s="13" t="s">
        <v>181</v>
      </c>
      <c r="I465" s="13" t="s">
        <v>30</v>
      </c>
      <c r="J465" s="13" t="s">
        <v>114</v>
      </c>
      <c r="K465" s="13" t="s">
        <v>115</v>
      </c>
      <c r="L465" s="15">
        <v>40.26</v>
      </c>
      <c r="M465" s="13">
        <v>4</v>
      </c>
      <c r="N465" s="16">
        <v>0.15</v>
      </c>
      <c r="O465" s="15">
        <v>17.45</v>
      </c>
      <c r="P465" s="17">
        <f t="shared" si="7"/>
        <v>0.43343268753104819</v>
      </c>
    </row>
    <row r="466" spans="1:16" ht="15" customHeight="1" x14ac:dyDescent="0.25">
      <c r="A466" s="8" t="s">
        <v>1093</v>
      </c>
      <c r="B466" s="9">
        <v>44981</v>
      </c>
      <c r="C466" s="9">
        <v>44987</v>
      </c>
      <c r="D466" s="8" t="s">
        <v>1094</v>
      </c>
      <c r="E466" s="8" t="s">
        <v>287</v>
      </c>
      <c r="F466" s="8" t="s">
        <v>19</v>
      </c>
      <c r="G466" s="8" t="s">
        <v>43</v>
      </c>
      <c r="H466" s="8" t="s">
        <v>129</v>
      </c>
      <c r="I466" s="8" t="s">
        <v>30</v>
      </c>
      <c r="J466" s="8" t="s">
        <v>31</v>
      </c>
      <c r="K466" s="8" t="s">
        <v>240</v>
      </c>
      <c r="L466" s="10">
        <v>1130.4000000000001</v>
      </c>
      <c r="M466" s="8">
        <v>10</v>
      </c>
      <c r="N466" s="11">
        <v>0</v>
      </c>
      <c r="O466" s="10">
        <v>452.37</v>
      </c>
      <c r="P466" s="12">
        <f t="shared" si="7"/>
        <v>0.40018577494692142</v>
      </c>
    </row>
    <row r="467" spans="1:16" ht="15" customHeight="1" x14ac:dyDescent="0.25">
      <c r="A467" s="13" t="s">
        <v>1095</v>
      </c>
      <c r="B467" s="14">
        <v>44605</v>
      </c>
      <c r="C467" s="14">
        <v>44612</v>
      </c>
      <c r="D467" s="13" t="s">
        <v>1096</v>
      </c>
      <c r="E467" s="13" t="s">
        <v>312</v>
      </c>
      <c r="F467" s="13" t="s">
        <v>50</v>
      </c>
      <c r="G467" s="13" t="s">
        <v>43</v>
      </c>
      <c r="H467" s="13" t="s">
        <v>44</v>
      </c>
      <c r="I467" s="13" t="s">
        <v>30</v>
      </c>
      <c r="J467" s="13" t="s">
        <v>31</v>
      </c>
      <c r="K467" s="13" t="s">
        <v>32</v>
      </c>
      <c r="L467" s="15">
        <v>114.57</v>
      </c>
      <c r="M467" s="13">
        <v>1</v>
      </c>
      <c r="N467" s="16">
        <v>0</v>
      </c>
      <c r="O467" s="15">
        <v>44.03</v>
      </c>
      <c r="P467" s="17">
        <f t="shared" si="7"/>
        <v>0.38430653748799865</v>
      </c>
    </row>
    <row r="468" spans="1:16" ht="15" customHeight="1" x14ac:dyDescent="0.25">
      <c r="A468" s="8" t="s">
        <v>1097</v>
      </c>
      <c r="B468" s="9">
        <v>44989</v>
      </c>
      <c r="C468" s="9">
        <v>44991</v>
      </c>
      <c r="D468" s="8" t="s">
        <v>1098</v>
      </c>
      <c r="E468" s="8" t="s">
        <v>287</v>
      </c>
      <c r="F468" s="8" t="s">
        <v>19</v>
      </c>
      <c r="G468" s="8" t="s">
        <v>58</v>
      </c>
      <c r="H468" s="8" t="s">
        <v>87</v>
      </c>
      <c r="I468" s="8" t="s">
        <v>22</v>
      </c>
      <c r="J468" s="8" t="s">
        <v>76</v>
      </c>
      <c r="K468" s="8" t="s">
        <v>203</v>
      </c>
      <c r="L468" s="10">
        <v>1617.69</v>
      </c>
      <c r="M468" s="8">
        <v>2</v>
      </c>
      <c r="N468" s="11">
        <v>0.15</v>
      </c>
      <c r="O468" s="10">
        <v>492.96</v>
      </c>
      <c r="P468" s="12">
        <f t="shared" si="7"/>
        <v>0.30473081987278156</v>
      </c>
    </row>
    <row r="469" spans="1:16" ht="15" customHeight="1" x14ac:dyDescent="0.25">
      <c r="A469" s="13" t="s">
        <v>1099</v>
      </c>
      <c r="B469" s="14">
        <v>45272</v>
      </c>
      <c r="C469" s="14">
        <v>45279</v>
      </c>
      <c r="D469" s="13" t="s">
        <v>1100</v>
      </c>
      <c r="E469" s="13" t="s">
        <v>202</v>
      </c>
      <c r="F469" s="13" t="s">
        <v>28</v>
      </c>
      <c r="G469" s="13" t="s">
        <v>20</v>
      </c>
      <c r="H469" s="13" t="s">
        <v>21</v>
      </c>
      <c r="I469" s="13" t="s">
        <v>30</v>
      </c>
      <c r="J469" s="13" t="s">
        <v>114</v>
      </c>
      <c r="K469" s="13" t="s">
        <v>236</v>
      </c>
      <c r="L469" s="15">
        <v>40.020000000000003</v>
      </c>
      <c r="M469" s="13">
        <v>3</v>
      </c>
      <c r="N469" s="16">
        <v>0</v>
      </c>
      <c r="O469" s="15">
        <v>14.81</v>
      </c>
      <c r="P469" s="17">
        <f t="shared" si="7"/>
        <v>0.37006496751624185</v>
      </c>
    </row>
    <row r="470" spans="1:16" ht="15" customHeight="1" x14ac:dyDescent="0.25">
      <c r="A470" s="8" t="s">
        <v>1101</v>
      </c>
      <c r="B470" s="9">
        <v>44616</v>
      </c>
      <c r="C470" s="9">
        <v>44619</v>
      </c>
      <c r="D470" s="8" t="s">
        <v>1102</v>
      </c>
      <c r="E470" s="8" t="s">
        <v>80</v>
      </c>
      <c r="F470" s="8" t="s">
        <v>28</v>
      </c>
      <c r="G470" s="8" t="s">
        <v>43</v>
      </c>
      <c r="H470" s="8" t="s">
        <v>129</v>
      </c>
      <c r="I470" s="8" t="s">
        <v>52</v>
      </c>
      <c r="J470" s="8" t="s">
        <v>264</v>
      </c>
      <c r="K470" s="8" t="s">
        <v>265</v>
      </c>
      <c r="L470" s="10">
        <v>979.5</v>
      </c>
      <c r="M470" s="8">
        <v>5</v>
      </c>
      <c r="N470" s="11">
        <v>0</v>
      </c>
      <c r="O470" s="10">
        <v>314.94</v>
      </c>
      <c r="P470" s="12">
        <f t="shared" si="7"/>
        <v>0.32153139356814703</v>
      </c>
    </row>
    <row r="471" spans="1:16" ht="15" customHeight="1" x14ac:dyDescent="0.25">
      <c r="A471" s="13" t="s">
        <v>1103</v>
      </c>
      <c r="B471" s="14">
        <v>45118</v>
      </c>
      <c r="C471" s="14">
        <v>45121</v>
      </c>
      <c r="D471" s="13" t="s">
        <v>1104</v>
      </c>
      <c r="E471" s="13" t="s">
        <v>132</v>
      </c>
      <c r="F471" s="13" t="s">
        <v>50</v>
      </c>
      <c r="G471" s="13" t="s">
        <v>43</v>
      </c>
      <c r="H471" s="13" t="s">
        <v>44</v>
      </c>
      <c r="I471" s="13" t="s">
        <v>30</v>
      </c>
      <c r="J471" s="13" t="s">
        <v>162</v>
      </c>
      <c r="K471" s="13" t="s">
        <v>163</v>
      </c>
      <c r="L471" s="15">
        <v>549.99</v>
      </c>
      <c r="M471" s="13">
        <v>9</v>
      </c>
      <c r="N471" s="16">
        <v>0</v>
      </c>
      <c r="O471" s="15">
        <v>245.72</v>
      </c>
      <c r="P471" s="17">
        <f t="shared" si="7"/>
        <v>0.44677175948653614</v>
      </c>
    </row>
    <row r="472" spans="1:16" ht="15" customHeight="1" x14ac:dyDescent="0.25">
      <c r="A472" s="8" t="s">
        <v>1105</v>
      </c>
      <c r="B472" s="9">
        <v>45058</v>
      </c>
      <c r="C472" s="9">
        <v>45062</v>
      </c>
      <c r="D472" s="8" t="s">
        <v>1106</v>
      </c>
      <c r="E472" s="8" t="s">
        <v>80</v>
      </c>
      <c r="F472" s="8" t="s">
        <v>19</v>
      </c>
      <c r="G472" s="8" t="s">
        <v>43</v>
      </c>
      <c r="H472" s="8" t="s">
        <v>51</v>
      </c>
      <c r="I472" s="8" t="s">
        <v>22</v>
      </c>
      <c r="J472" s="8" t="s">
        <v>23</v>
      </c>
      <c r="K472" s="8" t="s">
        <v>24</v>
      </c>
      <c r="L472" s="10">
        <v>171.4</v>
      </c>
      <c r="M472" s="8">
        <v>4</v>
      </c>
      <c r="N472" s="11">
        <v>0</v>
      </c>
      <c r="O472" s="10">
        <v>59.25</v>
      </c>
      <c r="P472" s="12">
        <f t="shared" si="7"/>
        <v>0.34568261376896148</v>
      </c>
    </row>
    <row r="473" spans="1:16" ht="15" customHeight="1" x14ac:dyDescent="0.25">
      <c r="A473" s="13" t="s">
        <v>1107</v>
      </c>
      <c r="B473" s="14">
        <v>44579</v>
      </c>
      <c r="C473" s="14">
        <v>44583</v>
      </c>
      <c r="D473" s="13" t="s">
        <v>1108</v>
      </c>
      <c r="E473" s="13" t="s">
        <v>18</v>
      </c>
      <c r="F473" s="13" t="s">
        <v>28</v>
      </c>
      <c r="G473" s="13" t="s">
        <v>43</v>
      </c>
      <c r="H473" s="13" t="s">
        <v>44</v>
      </c>
      <c r="I473" s="13" t="s">
        <v>52</v>
      </c>
      <c r="J473" s="13" t="s">
        <v>53</v>
      </c>
      <c r="K473" s="13" t="s">
        <v>199</v>
      </c>
      <c r="L473" s="15">
        <v>2306.4699999999998</v>
      </c>
      <c r="M473" s="13">
        <v>10</v>
      </c>
      <c r="N473" s="16">
        <v>0.15</v>
      </c>
      <c r="O473" s="15">
        <v>938.61</v>
      </c>
      <c r="P473" s="17">
        <f t="shared" si="7"/>
        <v>0.40694654602054225</v>
      </c>
    </row>
    <row r="474" spans="1:16" ht="15" customHeight="1" x14ac:dyDescent="0.25">
      <c r="A474" s="8" t="s">
        <v>1109</v>
      </c>
      <c r="B474" s="9">
        <v>44789</v>
      </c>
      <c r="C474" s="9">
        <v>44791</v>
      </c>
      <c r="D474" s="8" t="s">
        <v>1110</v>
      </c>
      <c r="E474" s="8" t="s">
        <v>106</v>
      </c>
      <c r="F474" s="8" t="s">
        <v>50</v>
      </c>
      <c r="G474" s="8" t="s">
        <v>36</v>
      </c>
      <c r="H474" s="8" t="s">
        <v>136</v>
      </c>
      <c r="I474" s="8" t="s">
        <v>22</v>
      </c>
      <c r="J474" s="8" t="s">
        <v>23</v>
      </c>
      <c r="K474" s="8" t="s">
        <v>143</v>
      </c>
      <c r="L474" s="10">
        <v>72.88</v>
      </c>
      <c r="M474" s="8">
        <v>2</v>
      </c>
      <c r="N474" s="11">
        <v>0</v>
      </c>
      <c r="O474" s="10">
        <v>31.38</v>
      </c>
      <c r="P474" s="12">
        <f t="shared" si="7"/>
        <v>0.4305708013172338</v>
      </c>
    </row>
    <row r="475" spans="1:16" ht="15" customHeight="1" x14ac:dyDescent="0.25">
      <c r="A475" s="13" t="s">
        <v>1111</v>
      </c>
      <c r="B475" s="14">
        <v>44763</v>
      </c>
      <c r="C475" s="14">
        <v>44764</v>
      </c>
      <c r="D475" s="13" t="s">
        <v>1112</v>
      </c>
      <c r="E475" s="13" t="s">
        <v>447</v>
      </c>
      <c r="F475" s="13" t="s">
        <v>50</v>
      </c>
      <c r="G475" s="13" t="s">
        <v>20</v>
      </c>
      <c r="H475" s="13" t="s">
        <v>99</v>
      </c>
      <c r="I475" s="13" t="s">
        <v>22</v>
      </c>
      <c r="J475" s="13" t="s">
        <v>76</v>
      </c>
      <c r="K475" s="13" t="s">
        <v>91</v>
      </c>
      <c r="L475" s="15">
        <v>1675.76</v>
      </c>
      <c r="M475" s="13">
        <v>2</v>
      </c>
      <c r="N475" s="16">
        <v>0</v>
      </c>
      <c r="O475" s="15">
        <v>437.98</v>
      </c>
      <c r="P475" s="17">
        <f t="shared" si="7"/>
        <v>0.26136200887955319</v>
      </c>
    </row>
    <row r="476" spans="1:16" ht="15" customHeight="1" x14ac:dyDescent="0.25">
      <c r="A476" s="8" t="s">
        <v>1113</v>
      </c>
      <c r="B476" s="9">
        <v>45163</v>
      </c>
      <c r="C476" s="9">
        <v>45165</v>
      </c>
      <c r="D476" s="8" t="s">
        <v>1114</v>
      </c>
      <c r="E476" s="8" t="s">
        <v>447</v>
      </c>
      <c r="F476" s="8" t="s">
        <v>19</v>
      </c>
      <c r="G476" s="8" t="s">
        <v>36</v>
      </c>
      <c r="H476" s="8" t="s">
        <v>37</v>
      </c>
      <c r="I476" s="8" t="s">
        <v>22</v>
      </c>
      <c r="J476" s="8" t="s">
        <v>23</v>
      </c>
      <c r="K476" s="8" t="s">
        <v>24</v>
      </c>
      <c r="L476" s="10">
        <v>189.93</v>
      </c>
      <c r="M476" s="8">
        <v>5</v>
      </c>
      <c r="N476" s="11">
        <v>0.15</v>
      </c>
      <c r="O476" s="10">
        <v>68.75</v>
      </c>
      <c r="P476" s="12">
        <f t="shared" si="7"/>
        <v>0.36197546464486913</v>
      </c>
    </row>
    <row r="477" spans="1:16" ht="15" customHeight="1" x14ac:dyDescent="0.25">
      <c r="A477" s="13" t="s">
        <v>1115</v>
      </c>
      <c r="B477" s="14">
        <v>45079</v>
      </c>
      <c r="C477" s="14">
        <v>45084</v>
      </c>
      <c r="D477" s="13" t="s">
        <v>1116</v>
      </c>
      <c r="E477" s="13" t="s">
        <v>18</v>
      </c>
      <c r="F477" s="13" t="s">
        <v>28</v>
      </c>
      <c r="G477" s="13" t="s">
        <v>20</v>
      </c>
      <c r="H477" s="13" t="s">
        <v>99</v>
      </c>
      <c r="I477" s="13" t="s">
        <v>22</v>
      </c>
      <c r="J477" s="13" t="s">
        <v>23</v>
      </c>
      <c r="K477" s="13" t="s">
        <v>24</v>
      </c>
      <c r="L477" s="15">
        <v>179.76</v>
      </c>
      <c r="M477" s="13">
        <v>4</v>
      </c>
      <c r="N477" s="16">
        <v>0</v>
      </c>
      <c r="O477" s="15">
        <v>40.369999999999997</v>
      </c>
      <c r="P477" s="17">
        <f t="shared" si="7"/>
        <v>0.22457721406319536</v>
      </c>
    </row>
    <row r="478" spans="1:16" ht="15" customHeight="1" x14ac:dyDescent="0.25">
      <c r="A478" s="8" t="s">
        <v>1117</v>
      </c>
      <c r="B478" s="9">
        <v>44781</v>
      </c>
      <c r="C478" s="9">
        <v>44786</v>
      </c>
      <c r="D478" s="8" t="s">
        <v>1118</v>
      </c>
      <c r="E478" s="8" t="s">
        <v>482</v>
      </c>
      <c r="F478" s="8" t="s">
        <v>28</v>
      </c>
      <c r="G478" s="8" t="s">
        <v>58</v>
      </c>
      <c r="H478" s="8" t="s">
        <v>59</v>
      </c>
      <c r="I478" s="8" t="s">
        <v>30</v>
      </c>
      <c r="J478" s="8" t="s">
        <v>60</v>
      </c>
      <c r="K478" s="8" t="s">
        <v>140</v>
      </c>
      <c r="L478" s="10">
        <v>28.49</v>
      </c>
      <c r="M478" s="8">
        <v>2</v>
      </c>
      <c r="N478" s="11">
        <v>0.15</v>
      </c>
      <c r="O478" s="10">
        <v>5.83</v>
      </c>
      <c r="P478" s="12">
        <f t="shared" si="7"/>
        <v>0.20463320463320464</v>
      </c>
    </row>
    <row r="479" spans="1:16" ht="15" customHeight="1" x14ac:dyDescent="0.25">
      <c r="A479" s="13" t="s">
        <v>1119</v>
      </c>
      <c r="B479" s="14">
        <v>44979</v>
      </c>
      <c r="C479" s="14">
        <v>44980</v>
      </c>
      <c r="D479" s="13" t="s">
        <v>1120</v>
      </c>
      <c r="E479" s="13" t="s">
        <v>166</v>
      </c>
      <c r="F479" s="13" t="s">
        <v>50</v>
      </c>
      <c r="G479" s="13" t="s">
        <v>43</v>
      </c>
      <c r="H479" s="13" t="s">
        <v>95</v>
      </c>
      <c r="I479" s="13" t="s">
        <v>22</v>
      </c>
      <c r="J479" s="13" t="s">
        <v>23</v>
      </c>
      <c r="K479" s="13" t="s">
        <v>125</v>
      </c>
      <c r="L479" s="15">
        <v>245.1</v>
      </c>
      <c r="M479" s="13">
        <v>6</v>
      </c>
      <c r="N479" s="16">
        <v>0</v>
      </c>
      <c r="O479" s="15">
        <v>105.26</v>
      </c>
      <c r="P479" s="17">
        <f t="shared" si="7"/>
        <v>0.42945736434108528</v>
      </c>
    </row>
    <row r="480" spans="1:16" ht="15" customHeight="1" x14ac:dyDescent="0.25">
      <c r="A480" s="8" t="s">
        <v>1121</v>
      </c>
      <c r="B480" s="9">
        <v>44852</v>
      </c>
      <c r="C480" s="9">
        <v>44856</v>
      </c>
      <c r="D480" s="8" t="s">
        <v>1122</v>
      </c>
      <c r="E480" s="8" t="s">
        <v>202</v>
      </c>
      <c r="F480" s="8" t="s">
        <v>19</v>
      </c>
      <c r="G480" s="8" t="s">
        <v>43</v>
      </c>
      <c r="H480" s="8" t="s">
        <v>129</v>
      </c>
      <c r="I480" s="8" t="s">
        <v>30</v>
      </c>
      <c r="J480" s="8" t="s">
        <v>31</v>
      </c>
      <c r="K480" s="8" t="s">
        <v>65</v>
      </c>
      <c r="L480" s="10">
        <v>621.74</v>
      </c>
      <c r="M480" s="8">
        <v>7</v>
      </c>
      <c r="N480" s="11">
        <v>0</v>
      </c>
      <c r="O480" s="10">
        <v>140.71</v>
      </c>
      <c r="P480" s="12">
        <f t="shared" si="7"/>
        <v>0.22631646669025637</v>
      </c>
    </row>
    <row r="481" spans="1:16" ht="15" customHeight="1" x14ac:dyDescent="0.25">
      <c r="A481" s="13" t="s">
        <v>1123</v>
      </c>
      <c r="B481" s="14">
        <v>44575</v>
      </c>
      <c r="C481" s="14">
        <v>44581</v>
      </c>
      <c r="D481" s="13" t="s">
        <v>1124</v>
      </c>
      <c r="E481" s="13" t="s">
        <v>371</v>
      </c>
      <c r="F481" s="13" t="s">
        <v>50</v>
      </c>
      <c r="G481" s="13" t="s">
        <v>58</v>
      </c>
      <c r="H481" s="13" t="s">
        <v>81</v>
      </c>
      <c r="I481" s="13" t="s">
        <v>52</v>
      </c>
      <c r="J481" s="13" t="s">
        <v>264</v>
      </c>
      <c r="K481" s="13" t="s">
        <v>281</v>
      </c>
      <c r="L481" s="15">
        <v>554.94000000000005</v>
      </c>
      <c r="M481" s="13">
        <v>3</v>
      </c>
      <c r="N481" s="16">
        <v>0</v>
      </c>
      <c r="O481" s="15">
        <v>146.86000000000001</v>
      </c>
      <c r="P481" s="17">
        <f t="shared" si="7"/>
        <v>0.26464122247450172</v>
      </c>
    </row>
    <row r="482" spans="1:16" ht="15" customHeight="1" x14ac:dyDescent="0.25">
      <c r="A482" s="8" t="s">
        <v>1125</v>
      </c>
      <c r="B482" s="9">
        <v>44765</v>
      </c>
      <c r="C482" s="9">
        <v>44768</v>
      </c>
      <c r="D482" s="8" t="s">
        <v>1126</v>
      </c>
      <c r="E482" s="8" t="s">
        <v>86</v>
      </c>
      <c r="F482" s="8" t="s">
        <v>19</v>
      </c>
      <c r="G482" s="8" t="s">
        <v>36</v>
      </c>
      <c r="H482" s="8" t="s">
        <v>174</v>
      </c>
      <c r="I482" s="8" t="s">
        <v>22</v>
      </c>
      <c r="J482" s="8" t="s">
        <v>38</v>
      </c>
      <c r="K482" s="8" t="s">
        <v>158</v>
      </c>
      <c r="L482" s="10">
        <v>2247.19</v>
      </c>
      <c r="M482" s="8">
        <v>8</v>
      </c>
      <c r="N482" s="11">
        <v>0.1</v>
      </c>
      <c r="O482" s="10">
        <v>586.35</v>
      </c>
      <c r="P482" s="12">
        <f t="shared" si="7"/>
        <v>0.26092586741664037</v>
      </c>
    </row>
    <row r="483" spans="1:16" ht="15" customHeight="1" x14ac:dyDescent="0.25">
      <c r="A483" s="13" t="s">
        <v>1127</v>
      </c>
      <c r="B483" s="14">
        <v>45244</v>
      </c>
      <c r="C483" s="14">
        <v>45249</v>
      </c>
      <c r="D483" s="13" t="s">
        <v>1128</v>
      </c>
      <c r="E483" s="13" t="s">
        <v>18</v>
      </c>
      <c r="F483" s="13" t="s">
        <v>28</v>
      </c>
      <c r="G483" s="13" t="s">
        <v>58</v>
      </c>
      <c r="H483" s="13" t="s">
        <v>181</v>
      </c>
      <c r="I483" s="13" t="s">
        <v>52</v>
      </c>
      <c r="J483" s="13" t="s">
        <v>53</v>
      </c>
      <c r="K483" s="13" t="s">
        <v>199</v>
      </c>
      <c r="L483" s="15">
        <v>316.75</v>
      </c>
      <c r="M483" s="13">
        <v>2</v>
      </c>
      <c r="N483" s="16">
        <v>0.3</v>
      </c>
      <c r="O483" s="15">
        <v>103.16</v>
      </c>
      <c r="P483" s="17">
        <f t="shared" si="7"/>
        <v>0.32568271507498026</v>
      </c>
    </row>
    <row r="484" spans="1:16" ht="15" customHeight="1" x14ac:dyDescent="0.25">
      <c r="A484" s="8" t="s">
        <v>1129</v>
      </c>
      <c r="B484" s="9">
        <v>44616</v>
      </c>
      <c r="C484" s="9">
        <v>44623</v>
      </c>
      <c r="D484" s="8" t="s">
        <v>1130</v>
      </c>
      <c r="E484" s="8" t="s">
        <v>256</v>
      </c>
      <c r="F484" s="8" t="s">
        <v>28</v>
      </c>
      <c r="G484" s="8" t="s">
        <v>20</v>
      </c>
      <c r="H484" s="8" t="s">
        <v>167</v>
      </c>
      <c r="I484" s="8" t="s">
        <v>22</v>
      </c>
      <c r="J484" s="8" t="s">
        <v>23</v>
      </c>
      <c r="K484" s="8" t="s">
        <v>125</v>
      </c>
      <c r="L484" s="10">
        <v>404.5</v>
      </c>
      <c r="M484" s="8">
        <v>10</v>
      </c>
      <c r="N484" s="11">
        <v>0</v>
      </c>
      <c r="O484" s="10">
        <v>151.41</v>
      </c>
      <c r="P484" s="12">
        <f t="shared" si="7"/>
        <v>0.37431396786155746</v>
      </c>
    </row>
    <row r="485" spans="1:16" ht="15" customHeight="1" x14ac:dyDescent="0.25">
      <c r="A485" s="13" t="s">
        <v>1131</v>
      </c>
      <c r="B485" s="14">
        <v>45039</v>
      </c>
      <c r="C485" s="14">
        <v>45041</v>
      </c>
      <c r="D485" s="13" t="s">
        <v>1132</v>
      </c>
      <c r="E485" s="13" t="s">
        <v>146</v>
      </c>
      <c r="F485" s="13" t="s">
        <v>50</v>
      </c>
      <c r="G485" s="13" t="s">
        <v>43</v>
      </c>
      <c r="H485" s="13" t="s">
        <v>129</v>
      </c>
      <c r="I485" s="13" t="s">
        <v>30</v>
      </c>
      <c r="J485" s="13" t="s">
        <v>162</v>
      </c>
      <c r="K485" s="13" t="s">
        <v>284</v>
      </c>
      <c r="L485" s="15">
        <v>400.68</v>
      </c>
      <c r="M485" s="13">
        <v>6</v>
      </c>
      <c r="N485" s="16">
        <v>0</v>
      </c>
      <c r="O485" s="15">
        <v>84.89</v>
      </c>
      <c r="P485" s="17">
        <f t="shared" si="7"/>
        <v>0.21186482978935808</v>
      </c>
    </row>
    <row r="486" spans="1:16" ht="15" customHeight="1" x14ac:dyDescent="0.25">
      <c r="A486" s="8" t="s">
        <v>1133</v>
      </c>
      <c r="B486" s="9">
        <v>44954</v>
      </c>
      <c r="C486" s="9">
        <v>44958</v>
      </c>
      <c r="D486" s="8" t="s">
        <v>1134</v>
      </c>
      <c r="E486" s="8" t="s">
        <v>290</v>
      </c>
      <c r="F486" s="8" t="s">
        <v>50</v>
      </c>
      <c r="G486" s="8" t="s">
        <v>43</v>
      </c>
      <c r="H486" s="8" t="s">
        <v>129</v>
      </c>
      <c r="I486" s="8" t="s">
        <v>52</v>
      </c>
      <c r="J486" s="8" t="s">
        <v>264</v>
      </c>
      <c r="K486" s="8" t="s">
        <v>281</v>
      </c>
      <c r="L486" s="10">
        <v>534.84</v>
      </c>
      <c r="M486" s="8">
        <v>3</v>
      </c>
      <c r="N486" s="11">
        <v>0.1</v>
      </c>
      <c r="O486" s="10">
        <v>122.38</v>
      </c>
      <c r="P486" s="12">
        <f t="shared" si="7"/>
        <v>0.22881609453294441</v>
      </c>
    </row>
    <row r="487" spans="1:16" ht="15" customHeight="1" x14ac:dyDescent="0.25">
      <c r="A487" s="13" t="s">
        <v>1135</v>
      </c>
      <c r="B487" s="14">
        <v>44699</v>
      </c>
      <c r="C487" s="14">
        <v>44702</v>
      </c>
      <c r="D487" s="13" t="s">
        <v>1136</v>
      </c>
      <c r="E487" s="13" t="s">
        <v>75</v>
      </c>
      <c r="F487" s="13" t="s">
        <v>19</v>
      </c>
      <c r="G487" s="13" t="s">
        <v>58</v>
      </c>
      <c r="H487" s="13" t="s">
        <v>181</v>
      </c>
      <c r="I487" s="13" t="s">
        <v>30</v>
      </c>
      <c r="J487" s="13" t="s">
        <v>31</v>
      </c>
      <c r="K487" s="13" t="s">
        <v>240</v>
      </c>
      <c r="L487" s="15">
        <v>693.31</v>
      </c>
      <c r="M487" s="13">
        <v>9</v>
      </c>
      <c r="N487" s="16">
        <v>0.3</v>
      </c>
      <c r="O487" s="15">
        <v>229.5</v>
      </c>
      <c r="P487" s="17">
        <f t="shared" si="7"/>
        <v>0.33102075550619492</v>
      </c>
    </row>
    <row r="488" spans="1:16" ht="15" customHeight="1" x14ac:dyDescent="0.25">
      <c r="A488" s="8" t="s">
        <v>1137</v>
      </c>
      <c r="B488" s="9">
        <v>44962</v>
      </c>
      <c r="C488" s="9">
        <v>44965</v>
      </c>
      <c r="D488" s="8" t="s">
        <v>1138</v>
      </c>
      <c r="E488" s="8" t="s">
        <v>770</v>
      </c>
      <c r="F488" s="8" t="s">
        <v>28</v>
      </c>
      <c r="G488" s="8" t="s">
        <v>58</v>
      </c>
      <c r="H488" s="8" t="s">
        <v>181</v>
      </c>
      <c r="I488" s="8" t="s">
        <v>30</v>
      </c>
      <c r="J488" s="8" t="s">
        <v>162</v>
      </c>
      <c r="K488" s="8" t="s">
        <v>305</v>
      </c>
      <c r="L488" s="10">
        <v>289.62</v>
      </c>
      <c r="M488" s="8">
        <v>6</v>
      </c>
      <c r="N488" s="11">
        <v>0</v>
      </c>
      <c r="O488" s="10">
        <v>121.05</v>
      </c>
      <c r="P488" s="12">
        <f t="shared" si="7"/>
        <v>0.41796146674953388</v>
      </c>
    </row>
    <row r="489" spans="1:16" ht="15" customHeight="1" x14ac:dyDescent="0.25">
      <c r="A489" s="13" t="s">
        <v>1139</v>
      </c>
      <c r="B489" s="14">
        <v>45202</v>
      </c>
      <c r="C489" s="14">
        <v>45205</v>
      </c>
      <c r="D489" s="13" t="s">
        <v>1140</v>
      </c>
      <c r="E489" s="13" t="s">
        <v>68</v>
      </c>
      <c r="F489" s="13" t="s">
        <v>50</v>
      </c>
      <c r="G489" s="13" t="s">
        <v>58</v>
      </c>
      <c r="H489" s="13" t="s">
        <v>81</v>
      </c>
      <c r="I489" s="13" t="s">
        <v>52</v>
      </c>
      <c r="J489" s="13" t="s">
        <v>82</v>
      </c>
      <c r="K489" s="13" t="s">
        <v>100</v>
      </c>
      <c r="L489" s="15">
        <v>598.78</v>
      </c>
      <c r="M489" s="13">
        <v>6</v>
      </c>
      <c r="N489" s="16">
        <v>0.05</v>
      </c>
      <c r="O489" s="15">
        <v>232.38</v>
      </c>
      <c r="P489" s="17">
        <f t="shared" si="7"/>
        <v>0.38808911453288353</v>
      </c>
    </row>
    <row r="490" spans="1:16" ht="15" customHeight="1" x14ac:dyDescent="0.25">
      <c r="A490" s="8" t="s">
        <v>1141</v>
      </c>
      <c r="B490" s="9">
        <v>45266</v>
      </c>
      <c r="C490" s="9">
        <v>45267</v>
      </c>
      <c r="D490" s="8" t="s">
        <v>1142</v>
      </c>
      <c r="E490" s="8" t="s">
        <v>235</v>
      </c>
      <c r="F490" s="8" t="s">
        <v>50</v>
      </c>
      <c r="G490" s="8" t="s">
        <v>43</v>
      </c>
      <c r="H490" s="8" t="s">
        <v>95</v>
      </c>
      <c r="I490" s="8" t="s">
        <v>22</v>
      </c>
      <c r="J490" s="8" t="s">
        <v>45</v>
      </c>
      <c r="K490" s="8" t="s">
        <v>72</v>
      </c>
      <c r="L490" s="10">
        <v>1872.34</v>
      </c>
      <c r="M490" s="8">
        <v>6</v>
      </c>
      <c r="N490" s="11">
        <v>0.2</v>
      </c>
      <c r="O490" s="10">
        <v>576.66</v>
      </c>
      <c r="P490" s="12">
        <f t="shared" si="7"/>
        <v>0.30798893363384855</v>
      </c>
    </row>
    <row r="491" spans="1:16" ht="15" customHeight="1" x14ac:dyDescent="0.25">
      <c r="A491" s="13" t="s">
        <v>1143</v>
      </c>
      <c r="B491" s="14">
        <v>45274</v>
      </c>
      <c r="C491" s="14">
        <v>45278</v>
      </c>
      <c r="D491" s="13" t="s">
        <v>1144</v>
      </c>
      <c r="E491" s="13" t="s">
        <v>86</v>
      </c>
      <c r="F491" s="13" t="s">
        <v>50</v>
      </c>
      <c r="G491" s="13" t="s">
        <v>20</v>
      </c>
      <c r="H491" s="13" t="s">
        <v>21</v>
      </c>
      <c r="I491" s="13" t="s">
        <v>30</v>
      </c>
      <c r="J491" s="13" t="s">
        <v>31</v>
      </c>
      <c r="K491" s="13" t="s">
        <v>65</v>
      </c>
      <c r="L491" s="15">
        <v>594.51</v>
      </c>
      <c r="M491" s="13">
        <v>10</v>
      </c>
      <c r="N491" s="16">
        <v>0.3</v>
      </c>
      <c r="O491" s="15">
        <v>252.66</v>
      </c>
      <c r="P491" s="17">
        <f t="shared" si="7"/>
        <v>0.42498864611192411</v>
      </c>
    </row>
    <row r="492" spans="1:16" ht="15" customHeight="1" x14ac:dyDescent="0.25">
      <c r="A492" s="8" t="s">
        <v>1145</v>
      </c>
      <c r="B492" s="9">
        <v>45076</v>
      </c>
      <c r="C492" s="9">
        <v>45083</v>
      </c>
      <c r="D492" s="8" t="s">
        <v>211</v>
      </c>
      <c r="E492" s="8" t="s">
        <v>431</v>
      </c>
      <c r="F492" s="8" t="s">
        <v>28</v>
      </c>
      <c r="G492" s="8" t="s">
        <v>43</v>
      </c>
      <c r="H492" s="8" t="s">
        <v>51</v>
      </c>
      <c r="I492" s="8" t="s">
        <v>52</v>
      </c>
      <c r="J492" s="8" t="s">
        <v>82</v>
      </c>
      <c r="K492" s="8" t="s">
        <v>100</v>
      </c>
      <c r="L492" s="10">
        <v>515.36</v>
      </c>
      <c r="M492" s="8">
        <v>4</v>
      </c>
      <c r="N492" s="11">
        <v>0</v>
      </c>
      <c r="O492" s="10">
        <v>123.64</v>
      </c>
      <c r="P492" s="12">
        <f t="shared" si="7"/>
        <v>0.23990996584911517</v>
      </c>
    </row>
    <row r="493" spans="1:16" ht="15" customHeight="1" x14ac:dyDescent="0.25">
      <c r="A493" s="13" t="s">
        <v>1146</v>
      </c>
      <c r="B493" s="14">
        <v>44833</v>
      </c>
      <c r="C493" s="14">
        <v>44834</v>
      </c>
      <c r="D493" s="13" t="s">
        <v>1147</v>
      </c>
      <c r="E493" s="13" t="s">
        <v>290</v>
      </c>
      <c r="F493" s="13" t="s">
        <v>19</v>
      </c>
      <c r="G493" s="13" t="s">
        <v>43</v>
      </c>
      <c r="H493" s="13" t="s">
        <v>129</v>
      </c>
      <c r="I493" s="13" t="s">
        <v>30</v>
      </c>
      <c r="J493" s="13" t="s">
        <v>114</v>
      </c>
      <c r="K493" s="13" t="s">
        <v>350</v>
      </c>
      <c r="L493" s="15">
        <v>91.04</v>
      </c>
      <c r="M493" s="13">
        <v>10</v>
      </c>
      <c r="N493" s="16">
        <v>0.15</v>
      </c>
      <c r="O493" s="15">
        <v>34.75</v>
      </c>
      <c r="P493" s="17">
        <f t="shared" si="7"/>
        <v>0.38170035149384884</v>
      </c>
    </row>
    <row r="494" spans="1:16" ht="15" customHeight="1" x14ac:dyDescent="0.25">
      <c r="A494" s="8" t="s">
        <v>1148</v>
      </c>
      <c r="B494" s="9">
        <v>44776</v>
      </c>
      <c r="C494" s="9">
        <v>44779</v>
      </c>
      <c r="D494" s="8" t="s">
        <v>1149</v>
      </c>
      <c r="E494" s="8" t="s">
        <v>340</v>
      </c>
      <c r="F494" s="8" t="s">
        <v>28</v>
      </c>
      <c r="G494" s="8" t="s">
        <v>20</v>
      </c>
      <c r="H494" s="8" t="s">
        <v>21</v>
      </c>
      <c r="I494" s="8" t="s">
        <v>52</v>
      </c>
      <c r="J494" s="8" t="s">
        <v>153</v>
      </c>
      <c r="K494" s="8" t="s">
        <v>411</v>
      </c>
      <c r="L494" s="10">
        <v>642.16999999999996</v>
      </c>
      <c r="M494" s="8">
        <v>9</v>
      </c>
      <c r="N494" s="11">
        <v>0.2</v>
      </c>
      <c r="O494" s="10">
        <v>224.39</v>
      </c>
      <c r="P494" s="12">
        <f t="shared" si="7"/>
        <v>0.34942460719124219</v>
      </c>
    </row>
    <row r="495" spans="1:16" ht="15" customHeight="1" x14ac:dyDescent="0.25">
      <c r="A495" s="13" t="s">
        <v>1150</v>
      </c>
      <c r="B495" s="14">
        <v>44581</v>
      </c>
      <c r="C495" s="14">
        <v>44587</v>
      </c>
      <c r="D495" s="13" t="s">
        <v>1151</v>
      </c>
      <c r="E495" s="13" t="s">
        <v>49</v>
      </c>
      <c r="F495" s="13" t="s">
        <v>19</v>
      </c>
      <c r="G495" s="13" t="s">
        <v>36</v>
      </c>
      <c r="H495" s="13" t="s">
        <v>174</v>
      </c>
      <c r="I495" s="13" t="s">
        <v>30</v>
      </c>
      <c r="J495" s="13" t="s">
        <v>31</v>
      </c>
      <c r="K495" s="13" t="s">
        <v>65</v>
      </c>
      <c r="L495" s="15">
        <v>830.38</v>
      </c>
      <c r="M495" s="13">
        <v>9</v>
      </c>
      <c r="N495" s="16">
        <v>0.2</v>
      </c>
      <c r="O495" s="15">
        <v>179.65</v>
      </c>
      <c r="P495" s="17">
        <f t="shared" si="7"/>
        <v>0.21634673282111805</v>
      </c>
    </row>
    <row r="496" spans="1:16" ht="15" customHeight="1" x14ac:dyDescent="0.25">
      <c r="A496" s="8" t="s">
        <v>1152</v>
      </c>
      <c r="B496" s="9">
        <v>44935</v>
      </c>
      <c r="C496" s="9">
        <v>44939</v>
      </c>
      <c r="D496" s="8" t="s">
        <v>1153</v>
      </c>
      <c r="E496" s="8" t="s">
        <v>343</v>
      </c>
      <c r="F496" s="8" t="s">
        <v>19</v>
      </c>
      <c r="G496" s="8" t="s">
        <v>36</v>
      </c>
      <c r="H496" s="8" t="s">
        <v>136</v>
      </c>
      <c r="I496" s="8" t="s">
        <v>30</v>
      </c>
      <c r="J496" s="8" t="s">
        <v>162</v>
      </c>
      <c r="K496" s="8" t="s">
        <v>305</v>
      </c>
      <c r="L496" s="10">
        <v>382.48</v>
      </c>
      <c r="M496" s="8">
        <v>7</v>
      </c>
      <c r="N496" s="11">
        <v>0</v>
      </c>
      <c r="O496" s="10">
        <v>111.5</v>
      </c>
      <c r="P496" s="12">
        <f t="shared" si="7"/>
        <v>0.29151851077180507</v>
      </c>
    </row>
    <row r="497" spans="1:16" ht="15" customHeight="1" x14ac:dyDescent="0.25">
      <c r="A497" s="13" t="s">
        <v>1154</v>
      </c>
      <c r="B497" s="14">
        <v>45223</v>
      </c>
      <c r="C497" s="14">
        <v>45225</v>
      </c>
      <c r="D497" s="13" t="s">
        <v>1155</v>
      </c>
      <c r="E497" s="13" t="s">
        <v>106</v>
      </c>
      <c r="F497" s="13" t="s">
        <v>50</v>
      </c>
      <c r="G497" s="13" t="s">
        <v>43</v>
      </c>
      <c r="H497" s="13" t="s">
        <v>51</v>
      </c>
      <c r="I497" s="13" t="s">
        <v>22</v>
      </c>
      <c r="J497" s="13" t="s">
        <v>45</v>
      </c>
      <c r="K497" s="13" t="s">
        <v>46</v>
      </c>
      <c r="L497" s="15">
        <v>1397.2</v>
      </c>
      <c r="M497" s="13">
        <v>4</v>
      </c>
      <c r="N497" s="16">
        <v>0.1</v>
      </c>
      <c r="O497" s="15">
        <v>466.61</v>
      </c>
      <c r="P497" s="17">
        <f t="shared" si="7"/>
        <v>0.33396077870025764</v>
      </c>
    </row>
    <row r="498" spans="1:16" ht="15" customHeight="1" x14ac:dyDescent="0.25">
      <c r="A498" s="8" t="s">
        <v>1156</v>
      </c>
      <c r="B498" s="9">
        <v>44768</v>
      </c>
      <c r="C498" s="9">
        <v>44770</v>
      </c>
      <c r="D498" s="8" t="s">
        <v>1157</v>
      </c>
      <c r="E498" s="8" t="s">
        <v>161</v>
      </c>
      <c r="F498" s="8" t="s">
        <v>19</v>
      </c>
      <c r="G498" s="8" t="s">
        <v>43</v>
      </c>
      <c r="H498" s="8" t="s">
        <v>51</v>
      </c>
      <c r="I498" s="8" t="s">
        <v>52</v>
      </c>
      <c r="J498" s="8" t="s">
        <v>82</v>
      </c>
      <c r="K498" s="8" t="s">
        <v>206</v>
      </c>
      <c r="L498" s="10">
        <v>1003.5</v>
      </c>
      <c r="M498" s="8">
        <v>9</v>
      </c>
      <c r="N498" s="11">
        <v>0</v>
      </c>
      <c r="O498" s="10">
        <v>209.78</v>
      </c>
      <c r="P498" s="12">
        <f t="shared" si="7"/>
        <v>0.20904833084205282</v>
      </c>
    </row>
    <row r="499" spans="1:16" ht="15" customHeight="1" x14ac:dyDescent="0.25">
      <c r="A499" s="13" t="s">
        <v>1158</v>
      </c>
      <c r="B499" s="14">
        <v>44647</v>
      </c>
      <c r="C499" s="14">
        <v>44650</v>
      </c>
      <c r="D499" s="13" t="s">
        <v>1159</v>
      </c>
      <c r="E499" s="13" t="s">
        <v>287</v>
      </c>
      <c r="F499" s="13" t="s">
        <v>50</v>
      </c>
      <c r="G499" s="13" t="s">
        <v>43</v>
      </c>
      <c r="H499" s="13" t="s">
        <v>95</v>
      </c>
      <c r="I499" s="13" t="s">
        <v>52</v>
      </c>
      <c r="J499" s="13" t="s">
        <v>264</v>
      </c>
      <c r="K499" s="13" t="s">
        <v>265</v>
      </c>
      <c r="L499" s="15">
        <v>516.36</v>
      </c>
      <c r="M499" s="13">
        <v>3</v>
      </c>
      <c r="N499" s="16">
        <v>0</v>
      </c>
      <c r="O499" s="15">
        <v>164.98</v>
      </c>
      <c r="P499" s="17">
        <f t="shared" si="7"/>
        <v>0.31950577116740259</v>
      </c>
    </row>
    <row r="500" spans="1:16" ht="15" customHeight="1" x14ac:dyDescent="0.25">
      <c r="A500" s="8" t="s">
        <v>1160</v>
      </c>
      <c r="B500" s="9">
        <v>44654</v>
      </c>
      <c r="C500" s="9">
        <v>44656</v>
      </c>
      <c r="D500" s="8" t="s">
        <v>1161</v>
      </c>
      <c r="E500" s="8" t="s">
        <v>431</v>
      </c>
      <c r="F500" s="8" t="s">
        <v>50</v>
      </c>
      <c r="G500" s="8" t="s">
        <v>20</v>
      </c>
      <c r="H500" s="8" t="s">
        <v>21</v>
      </c>
      <c r="I500" s="8" t="s">
        <v>30</v>
      </c>
      <c r="J500" s="8" t="s">
        <v>31</v>
      </c>
      <c r="K500" s="8" t="s">
        <v>240</v>
      </c>
      <c r="L500" s="10">
        <v>458.81</v>
      </c>
      <c r="M500" s="8">
        <v>4</v>
      </c>
      <c r="N500" s="11">
        <v>0.05</v>
      </c>
      <c r="O500" s="10">
        <v>189.92</v>
      </c>
      <c r="P500" s="12">
        <f t="shared" si="7"/>
        <v>0.41394041106340312</v>
      </c>
    </row>
    <row r="501" spans="1:16" ht="15" customHeight="1" x14ac:dyDescent="0.25">
      <c r="A501" s="13" t="s">
        <v>1162</v>
      </c>
      <c r="B501" s="14">
        <v>45012</v>
      </c>
      <c r="C501" s="14">
        <v>45016</v>
      </c>
      <c r="D501" s="13" t="s">
        <v>1163</v>
      </c>
      <c r="E501" s="13" t="s">
        <v>128</v>
      </c>
      <c r="F501" s="13" t="s">
        <v>50</v>
      </c>
      <c r="G501" s="13" t="s">
        <v>43</v>
      </c>
      <c r="H501" s="13" t="s">
        <v>95</v>
      </c>
      <c r="I501" s="13" t="s">
        <v>30</v>
      </c>
      <c r="J501" s="13" t="s">
        <v>162</v>
      </c>
      <c r="K501" s="13" t="s">
        <v>284</v>
      </c>
      <c r="L501" s="15">
        <v>87.33</v>
      </c>
      <c r="M501" s="13">
        <v>2</v>
      </c>
      <c r="N501" s="16">
        <v>0.2</v>
      </c>
      <c r="O501" s="15">
        <v>28.93</v>
      </c>
      <c r="P501" s="17">
        <f t="shared" si="7"/>
        <v>0.33127218596129626</v>
      </c>
    </row>
  </sheetData>
  <autoFilter ref="A1:P501"/>
  <conditionalFormatting sqref="O1:O1048576">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topLeftCell="B7" zoomScaleNormal="100" workbookViewId="0">
      <selection activeCell="G18" sqref="G18"/>
    </sheetView>
  </sheetViews>
  <sheetFormatPr defaultColWidth="8.7109375" defaultRowHeight="15" x14ac:dyDescent="0.25"/>
  <cols>
    <col min="1" max="13" width="14" style="6" customWidth="1"/>
  </cols>
  <sheetData>
    <row r="1" spans="1:10" ht="27.75" customHeight="1" x14ac:dyDescent="0.25">
      <c r="A1" s="5" t="s">
        <v>1164</v>
      </c>
      <c r="B1" s="5"/>
      <c r="C1" s="5"/>
      <c r="D1" s="5"/>
      <c r="E1" s="5"/>
      <c r="F1" s="5"/>
      <c r="G1" s="5"/>
      <c r="H1" s="5"/>
    </row>
    <row r="3" spans="1:10" ht="15" customHeight="1" x14ac:dyDescent="0.25">
      <c r="A3" s="18" t="s">
        <v>1165</v>
      </c>
    </row>
    <row r="4" spans="1:10" ht="15" customHeight="1" x14ac:dyDescent="0.25">
      <c r="A4" s="4" t="s">
        <v>1166</v>
      </c>
      <c r="B4" s="4"/>
      <c r="C4" s="4" t="s">
        <v>1167</v>
      </c>
      <c r="D4" s="4"/>
      <c r="E4" s="4" t="s">
        <v>1168</v>
      </c>
      <c r="F4" s="4"/>
      <c r="G4" s="4" t="s">
        <v>1169</v>
      </c>
      <c r="H4" s="4"/>
      <c r="I4" s="4" t="s">
        <v>1170</v>
      </c>
      <c r="J4" s="4"/>
    </row>
    <row r="5" spans="1:10" ht="17.25" customHeight="1" x14ac:dyDescent="0.3">
      <c r="A5" s="3">
        <f>SUM(Sales_Data!L2:L501)</f>
        <v>571899.30000000028</v>
      </c>
      <c r="B5" s="3"/>
      <c r="C5" s="3">
        <f>SUM(Sales_Data!O2:O501)</f>
        <v>187737.36000000016</v>
      </c>
      <c r="D5" s="3"/>
      <c r="E5" s="2">
        <f>AVERAGE(Sales_Data!P2:P501)</f>
        <v>0.32521497797623705</v>
      </c>
      <c r="F5" s="2"/>
      <c r="G5" s="1">
        <f>COUNTA(Sales_Data!A2:A501)</f>
        <v>500</v>
      </c>
      <c r="H5" s="1"/>
      <c r="I5" s="1">
        <f>SUMPRODUCT(1/COUNTIF(Sales_Data!D2:D501,Sales_Data!D2:D501))</f>
        <v>494</v>
      </c>
      <c r="J5" s="1"/>
    </row>
    <row r="8" spans="1:10" ht="15" customHeight="1" x14ac:dyDescent="0.25">
      <c r="A8" s="5" t="s">
        <v>1171</v>
      </c>
      <c r="B8" s="5"/>
      <c r="C8" s="5"/>
      <c r="D8" s="5"/>
      <c r="F8" s="5" t="s">
        <v>1172</v>
      </c>
      <c r="G8" s="5"/>
      <c r="H8" s="5"/>
      <c r="I8" s="5"/>
    </row>
    <row r="9" spans="1:10" ht="15" customHeight="1" x14ac:dyDescent="0.25">
      <c r="A9" s="19" t="s">
        <v>6</v>
      </c>
      <c r="B9" s="19" t="s">
        <v>1166</v>
      </c>
      <c r="C9" s="19" t="s">
        <v>1167</v>
      </c>
      <c r="D9" s="19" t="s">
        <v>1168</v>
      </c>
      <c r="F9" s="19" t="s">
        <v>6</v>
      </c>
      <c r="G9" s="19" t="s">
        <v>1166</v>
      </c>
      <c r="H9" s="19" t="s">
        <v>1167</v>
      </c>
      <c r="I9" s="19" t="s">
        <v>1168</v>
      </c>
    </row>
    <row r="10" spans="1:10" ht="15" customHeight="1" x14ac:dyDescent="0.25">
      <c r="A10" s="20" t="s">
        <v>43</v>
      </c>
      <c r="B10" s="21">
        <f>SUMIF(Sales_Data!G2:G501,A10,Sales_Data!L2:L501)</f>
        <v>154825.38</v>
      </c>
      <c r="C10" s="21">
        <f>SUMIF(Sales_Data!G2:G501,A10,Sales_Data!O2:O501)</f>
        <v>49271.05000000001</v>
      </c>
      <c r="D10" s="22">
        <f>AVERAGEIF(Sales_Data!G2:G501,A10,Sales_Data!P2:P501)</f>
        <v>0.31389616802812725</v>
      </c>
      <c r="F10" s="23" t="s">
        <v>22</v>
      </c>
      <c r="G10" s="24">
        <f>SUMIF(Sales_Data!I2:I501,F10,Sales_Data!L2:L501)</f>
        <v>401602.85000000021</v>
      </c>
      <c r="H10" s="24">
        <f>SUMIF(Sales_Data!I2:I501,F10,Sales_Data!O2:O501)</f>
        <v>133065.86999999997</v>
      </c>
      <c r="I10" s="25">
        <f>AVERAGEIF(Sales_Data!I2:I501,F10,Sales_Data!P2:P501)</f>
        <v>0.32669727634166934</v>
      </c>
    </row>
    <row r="11" spans="1:10" ht="15" customHeight="1" x14ac:dyDescent="0.25">
      <c r="A11" s="26" t="s">
        <v>36</v>
      </c>
      <c r="B11" s="27">
        <f>SUMIF(Sales_Data!G2:G501,A11,Sales_Data!L2:L501)</f>
        <v>129942.56999999993</v>
      </c>
      <c r="C11" s="27">
        <f>SUMIF(Sales_Data!G2:G501,A11,Sales_Data!O2:O501)</f>
        <v>41922.269999999997</v>
      </c>
      <c r="D11" s="28">
        <f>AVERAGEIF(Sales_Data!G2:G501,A11,Sales_Data!P2:P501)</f>
        <v>0.32689485722472228</v>
      </c>
      <c r="F11" s="29" t="s">
        <v>52</v>
      </c>
      <c r="G11" s="30">
        <f>SUMIF(Sales_Data!I2:I501,F11,Sales_Data!L2:L501)</f>
        <v>127020.61000000004</v>
      </c>
      <c r="H11" s="30">
        <f>SUMIF(Sales_Data!I2:I501,F11,Sales_Data!O2:O501)</f>
        <v>40470.840000000004</v>
      </c>
      <c r="I11" s="31">
        <f>AVERAGEIF(Sales_Data!I2:I501,F11,Sales_Data!P2:P501)</f>
        <v>0.32170759312423475</v>
      </c>
    </row>
    <row r="12" spans="1:10" ht="15" customHeight="1" x14ac:dyDescent="0.25">
      <c r="A12" s="20" t="s">
        <v>58</v>
      </c>
      <c r="B12" s="21">
        <f>SUMIF(Sales_Data!G2:G501,A12,Sales_Data!L2:L501)</f>
        <v>141611.65</v>
      </c>
      <c r="C12" s="21">
        <f>SUMIF(Sales_Data!G2:G501,A12,Sales_Data!O2:O501)</f>
        <v>47214.920000000006</v>
      </c>
      <c r="D12" s="22">
        <f>AVERAGEIF(Sales_Data!G2:G501,A12,Sales_Data!P2:P501)</f>
        <v>0.32959889884589283</v>
      </c>
      <c r="F12" s="23" t="s">
        <v>30</v>
      </c>
      <c r="G12" s="24">
        <f>SUMIF(Sales_Data!I2:I501,F12,Sales_Data!L2:L501)</f>
        <v>43275.839999999997</v>
      </c>
      <c r="H12" s="24">
        <f>SUMIF(Sales_Data!I2:I501,F12,Sales_Data!O2:O501)</f>
        <v>14200.650000000001</v>
      </c>
      <c r="I12" s="25">
        <f>AVERAGEIF(Sales_Data!I2:I501,F12,Sales_Data!P2:P501)</f>
        <v>0.32692027873210999</v>
      </c>
    </row>
    <row r="13" spans="1:10" ht="15" customHeight="1" x14ac:dyDescent="0.25">
      <c r="A13" s="26" t="s">
        <v>20</v>
      </c>
      <c r="B13" s="27">
        <f>SUMIF(Sales_Data!G2:G501,A13,Sales_Data!L2:L501)</f>
        <v>145519.69999999998</v>
      </c>
      <c r="C13" s="27">
        <f>SUMIF(Sales_Data!G2:G501,A13,Sales_Data!O2:O501)</f>
        <v>49329.119999999995</v>
      </c>
      <c r="D13" s="28">
        <f>AVERAGEIF(Sales_Data!G2:G501,A13,Sales_Data!P2:P501)</f>
        <v>0.33255461027328753</v>
      </c>
    </row>
    <row r="16" spans="1:10" ht="15" customHeight="1" x14ac:dyDescent="0.25">
      <c r="A16" s="5" t="s">
        <v>1173</v>
      </c>
      <c r="B16" s="5"/>
      <c r="C16" s="5"/>
      <c r="D16" s="5"/>
      <c r="E16" s="5"/>
      <c r="F16" s="5"/>
      <c r="G16" s="5"/>
      <c r="H16" s="5"/>
      <c r="I16" s="5"/>
      <c r="J16" s="5"/>
    </row>
    <row r="17" spans="1:13" ht="15" customHeight="1" x14ac:dyDescent="0.25">
      <c r="A17" s="19" t="s">
        <v>1174</v>
      </c>
      <c r="B17" s="19" t="s">
        <v>1175</v>
      </c>
      <c r="C17" s="19" t="s">
        <v>1176</v>
      </c>
      <c r="D17" s="19" t="s">
        <v>1177</v>
      </c>
      <c r="E17" s="19" t="s">
        <v>1178</v>
      </c>
      <c r="F17" s="19" t="s">
        <v>1179</v>
      </c>
      <c r="G17" s="19" t="s">
        <v>1180</v>
      </c>
      <c r="H17" s="19" t="s">
        <v>1181</v>
      </c>
      <c r="I17" s="19" t="s">
        <v>1182</v>
      </c>
      <c r="J17" s="19" t="s">
        <v>1183</v>
      </c>
      <c r="K17" s="19" t="s">
        <v>1184</v>
      </c>
      <c r="L17" s="19" t="s">
        <v>1185</v>
      </c>
      <c r="M17" s="19" t="s">
        <v>1186</v>
      </c>
    </row>
    <row r="18" spans="1:13" ht="15" customHeight="1" x14ac:dyDescent="0.25">
      <c r="A18" s="32" t="s">
        <v>1187</v>
      </c>
      <c r="B18" s="33">
        <f>SUMPRODUCT((YEAR(Sales_Data!B2:B501)=2022)*(MONTH(Sales_Data!B2:B501)=1)*Sales_Data!L2:L501)</f>
        <v>26133.420000000006</v>
      </c>
      <c r="C18" s="33">
        <f>SUMPRODUCT((YEAR(Sales_Data!B2:B501)=2022)*(MONTH(Sales_Data!B2:B501)=2)*Sales_Data!L2:L501)</f>
        <v>36256.65</v>
      </c>
      <c r="D18" s="33">
        <f>SUMPRODUCT((YEAR(Sales_Data!B2:B501)=2022)*(MONTH(Sales_Data!B2:B501)=3)*Sales_Data!L2:L501)</f>
        <v>19761.510000000006</v>
      </c>
      <c r="E18" s="33">
        <f>SUMPRODUCT((YEAR(Sales_Data!B2:B501)=2022)*(MONTH(Sales_Data!B2:B501)=4)*Sales_Data!L2:L501)</f>
        <v>26016.39</v>
      </c>
      <c r="F18" s="33">
        <f>SUMPRODUCT((YEAR(Sales_Data!B2:B501)=2022)*(MONTH(Sales_Data!B2:B501)=5)*Sales_Data!L2:L501)</f>
        <v>9349.2999999999993</v>
      </c>
      <c r="G18" s="33">
        <f>SUMPRODUCT((YEAR(Sales_Data!B2:B501)=2022)*(MONTH(Sales_Data!B2:B501)=6)*Sales_Data!L2:L501)</f>
        <v>18761.25</v>
      </c>
      <c r="H18" s="33">
        <f>SUMPRODUCT((YEAR(Sales_Data!B2:B501)=2022)*(MONTH(Sales_Data!B2:B501)=7)*Sales_Data!L2:L501)</f>
        <v>23501.890000000003</v>
      </c>
      <c r="I18" s="33">
        <f>SUMPRODUCT((YEAR(Sales_Data!B2:B501)=2022)*(MONTH(Sales_Data!B2:B501)=8)*Sales_Data!L2:L501)</f>
        <v>25334.49</v>
      </c>
      <c r="J18" s="33">
        <f>SUMPRODUCT((YEAR(Sales_Data!B2:B501)=2022)*(MONTH(Sales_Data!B2:B501)=9)*Sales_Data!L2:L501)</f>
        <v>31529.730000000003</v>
      </c>
      <c r="K18" s="33">
        <f>SUMPRODUCT((YEAR(Sales_Data!B2:B501)=2022)*(MONTH(Sales_Data!B2:B501)=10)*Sales_Data!L2:L501)</f>
        <v>16955.120000000003</v>
      </c>
      <c r="L18" s="33">
        <f>SUMPRODUCT((YEAR(Sales_Data!B2:B501)=2022)*(MONTH(Sales_Data!B2:B501)=11)*Sales_Data!L2:L501)</f>
        <v>7139.16</v>
      </c>
      <c r="M18" s="33">
        <f>SUMPRODUCT((YEAR(Sales_Data!B2:B501)=2022)*(MONTH(Sales_Data!B2:B501)=12)*Sales_Data!L2:L501)</f>
        <v>21227.459999999995</v>
      </c>
    </row>
    <row r="19" spans="1:13" ht="15" customHeight="1" x14ac:dyDescent="0.25">
      <c r="A19" s="32" t="s">
        <v>1188</v>
      </c>
      <c r="B19" s="34">
        <f>SUMPRODUCT((YEAR(Sales_Data!B2:B501)=2023)*(MONTH(Sales_Data!B2:B501)=1)*Sales_Data!L2:L501)</f>
        <v>23896.35</v>
      </c>
      <c r="C19" s="34">
        <f>SUMPRODUCT((YEAR(Sales_Data!B2:B501)=2023)*(MONTH(Sales_Data!B2:B501)=2)*Sales_Data!L2:L501)</f>
        <v>17167.21</v>
      </c>
      <c r="D19" s="34">
        <f>SUMPRODUCT((YEAR(Sales_Data!B2:B501)=2023)*(MONTH(Sales_Data!B2:B501)=3)*Sales_Data!L2:L501)</f>
        <v>21521.120000000003</v>
      </c>
      <c r="E19" s="34">
        <f>SUMPRODUCT((YEAR(Sales_Data!B2:B501)=2023)*(MONTH(Sales_Data!B2:B501)=4)*Sales_Data!L2:L501)</f>
        <v>26410.999999999996</v>
      </c>
      <c r="F19" s="34">
        <f>SUMPRODUCT((YEAR(Sales_Data!B2:B501)=2023)*(MONTH(Sales_Data!B2:B501)=5)*Sales_Data!L2:L501)</f>
        <v>29873.409999999996</v>
      </c>
      <c r="G19" s="34">
        <f>SUMPRODUCT((YEAR(Sales_Data!B2:B501)=2023)*(MONTH(Sales_Data!B2:B501)=6)*Sales_Data!L2:L501)</f>
        <v>22746.86</v>
      </c>
      <c r="H19" s="34">
        <f>SUMPRODUCT((YEAR(Sales_Data!B2:B501)=2023)*(MONTH(Sales_Data!B2:B501)=7)*Sales_Data!L2:L501)</f>
        <v>10931.910000000002</v>
      </c>
      <c r="I19" s="34">
        <f>SUMPRODUCT((YEAR(Sales_Data!B2:B501)=2023)*(MONTH(Sales_Data!B2:B501)=8)*Sales_Data!L2:L501)</f>
        <v>35982.889999999992</v>
      </c>
      <c r="J19" s="34">
        <f>SUMPRODUCT((YEAR(Sales_Data!B2:B501)=2023)*(MONTH(Sales_Data!B2:B501)=9)*Sales_Data!L2:L501)</f>
        <v>36675.760000000002</v>
      </c>
      <c r="K19" s="34">
        <f>SUMPRODUCT((YEAR(Sales_Data!B2:B501)=2023)*(MONTH(Sales_Data!B2:B501)=10)*Sales_Data!L2:L501)</f>
        <v>28431.899999999998</v>
      </c>
      <c r="L19" s="34">
        <f>SUMPRODUCT((YEAR(Sales_Data!B2:B501)=2023)*(MONTH(Sales_Data!B2:B501)=11)*Sales_Data!L2:L501)</f>
        <v>30354.879999999994</v>
      </c>
      <c r="M19" s="34">
        <f>SUMPRODUCT((YEAR(Sales_Data!B2:B501)=2023)*(MONTH(Sales_Data!B2:B501)=12)*Sales_Data!L2:L501)</f>
        <v>25939.639999999996</v>
      </c>
    </row>
  </sheetData>
  <mergeCells count="14">
    <mergeCell ref="A8:D8"/>
    <mergeCell ref="F8:I8"/>
    <mergeCell ref="A16:J16"/>
    <mergeCell ref="I4:J4"/>
    <mergeCell ref="A5:B5"/>
    <mergeCell ref="C5:D5"/>
    <mergeCell ref="E5:F5"/>
    <mergeCell ref="G5:H5"/>
    <mergeCell ref="I5:J5"/>
    <mergeCell ref="A1:H1"/>
    <mergeCell ref="A4:B4"/>
    <mergeCell ref="C4:D4"/>
    <mergeCell ref="E4:F4"/>
    <mergeCell ref="G4:H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zoomScaleNormal="100" workbookViewId="0"/>
  </sheetViews>
  <sheetFormatPr defaultColWidth="8.7109375" defaultRowHeight="15" x14ac:dyDescent="0.25"/>
  <cols>
    <col min="1" max="1" width="28" style="6" customWidth="1"/>
    <col min="2" max="2" width="65" style="6" customWidth="1"/>
  </cols>
  <sheetData>
    <row r="1" spans="1:2" ht="18" customHeight="1" x14ac:dyDescent="0.25">
      <c r="A1" s="35" t="s">
        <v>1189</v>
      </c>
      <c r="B1" s="35"/>
    </row>
    <row r="2" spans="1:2" ht="18" customHeight="1" x14ac:dyDescent="0.25">
      <c r="A2" s="36"/>
      <c r="B2" s="36"/>
    </row>
    <row r="3" spans="1:2" ht="18" customHeight="1" x14ac:dyDescent="0.25">
      <c r="A3" s="37" t="s">
        <v>1190</v>
      </c>
      <c r="B3" s="37"/>
    </row>
    <row r="4" spans="1:2" ht="18" customHeight="1" x14ac:dyDescent="0.25">
      <c r="A4" s="38" t="s">
        <v>1191</v>
      </c>
      <c r="B4" s="38" t="s">
        <v>1192</v>
      </c>
    </row>
    <row r="5" spans="1:2" ht="18" customHeight="1" x14ac:dyDescent="0.25">
      <c r="A5" s="39" t="s">
        <v>1193</v>
      </c>
      <c r="B5" s="39" t="s">
        <v>1194</v>
      </c>
    </row>
    <row r="6" spans="1:2" ht="18" customHeight="1" x14ac:dyDescent="0.25">
      <c r="A6" s="40" t="s">
        <v>1195</v>
      </c>
      <c r="B6" s="40" t="s">
        <v>1196</v>
      </c>
    </row>
    <row r="7" spans="1:2" ht="18" customHeight="1" x14ac:dyDescent="0.25">
      <c r="A7" s="39" t="s">
        <v>1197</v>
      </c>
      <c r="B7" s="39" t="s">
        <v>1198</v>
      </c>
    </row>
    <row r="8" spans="1:2" ht="18" customHeight="1" x14ac:dyDescent="0.25">
      <c r="A8" s="40" t="s">
        <v>1199</v>
      </c>
      <c r="B8" s="40" t="s">
        <v>1200</v>
      </c>
    </row>
    <row r="9" spans="1:2" ht="18" customHeight="1" x14ac:dyDescent="0.25">
      <c r="A9" s="39" t="s">
        <v>1201</v>
      </c>
      <c r="B9" s="39" t="s">
        <v>1202</v>
      </c>
    </row>
    <row r="10" spans="1:2" ht="18" customHeight="1" x14ac:dyDescent="0.25">
      <c r="A10" s="40" t="s">
        <v>1203</v>
      </c>
      <c r="B10" s="40" t="s">
        <v>1204</v>
      </c>
    </row>
    <row r="11" spans="1:2" ht="18" customHeight="1" x14ac:dyDescent="0.25">
      <c r="A11" s="36"/>
      <c r="B11" s="36"/>
    </row>
    <row r="12" spans="1:2" ht="18" customHeight="1" x14ac:dyDescent="0.25">
      <c r="A12" s="37" t="s">
        <v>1205</v>
      </c>
      <c r="B12" s="37"/>
    </row>
    <row r="13" spans="1:2" ht="18" customHeight="1" x14ac:dyDescent="0.25">
      <c r="A13" s="38" t="s">
        <v>1191</v>
      </c>
      <c r="B13" s="38" t="s">
        <v>1206</v>
      </c>
    </row>
    <row r="14" spans="1:2" ht="18" customHeight="1" x14ac:dyDescent="0.25">
      <c r="A14" s="39" t="s">
        <v>1207</v>
      </c>
      <c r="B14" s="39" t="s">
        <v>1208</v>
      </c>
    </row>
    <row r="15" spans="1:2" ht="18" customHeight="1" x14ac:dyDescent="0.25">
      <c r="A15" s="40" t="s">
        <v>1209</v>
      </c>
      <c r="B15" s="40" t="s">
        <v>1210</v>
      </c>
    </row>
    <row r="16" spans="1:2" ht="18" customHeight="1" x14ac:dyDescent="0.25">
      <c r="A16" s="39" t="s">
        <v>1211</v>
      </c>
      <c r="B16" s="39" t="s">
        <v>1212</v>
      </c>
    </row>
    <row r="17" spans="1:2" ht="18" customHeight="1" x14ac:dyDescent="0.25">
      <c r="A17" s="40" t="s">
        <v>1213</v>
      </c>
      <c r="B17" s="40" t="s">
        <v>1214</v>
      </c>
    </row>
    <row r="18" spans="1:2" ht="18" customHeight="1" x14ac:dyDescent="0.25">
      <c r="A18" s="39" t="s">
        <v>1215</v>
      </c>
      <c r="B18" s="39" t="s">
        <v>1216</v>
      </c>
    </row>
    <row r="19" spans="1:2" ht="18" customHeight="1" x14ac:dyDescent="0.25">
      <c r="A19" s="36"/>
      <c r="B19" s="36"/>
    </row>
    <row r="20" spans="1:2" ht="18" customHeight="1" x14ac:dyDescent="0.25">
      <c r="A20" s="37" t="s">
        <v>1217</v>
      </c>
      <c r="B20" s="37"/>
    </row>
    <row r="21" spans="1:2" ht="18" customHeight="1" x14ac:dyDescent="0.25">
      <c r="A21" s="38" t="s">
        <v>1191</v>
      </c>
      <c r="B21" s="38" t="s">
        <v>1192</v>
      </c>
    </row>
    <row r="22" spans="1:2" ht="18" customHeight="1" x14ac:dyDescent="0.25">
      <c r="A22" s="39" t="s">
        <v>1207</v>
      </c>
      <c r="B22" s="39" t="s">
        <v>1218</v>
      </c>
    </row>
    <row r="23" spans="1:2" ht="18" customHeight="1" x14ac:dyDescent="0.25">
      <c r="A23" s="40" t="s">
        <v>1219</v>
      </c>
      <c r="B23" s="40" t="s">
        <v>1220</v>
      </c>
    </row>
    <row r="24" spans="1:2" ht="18" customHeight="1" x14ac:dyDescent="0.25">
      <c r="A24" s="39" t="s">
        <v>1221</v>
      </c>
      <c r="B24" s="39" t="s">
        <v>1222</v>
      </c>
    </row>
    <row r="25" spans="1:2" ht="18" customHeight="1" x14ac:dyDescent="0.25">
      <c r="A25" s="40" t="s">
        <v>1221</v>
      </c>
      <c r="B25" s="40" t="s">
        <v>1223</v>
      </c>
    </row>
    <row r="26" spans="1:2" ht="18" customHeight="1" x14ac:dyDescent="0.25">
      <c r="A26" s="39" t="s">
        <v>1224</v>
      </c>
      <c r="B26" s="39" t="s">
        <v>1225</v>
      </c>
    </row>
    <row r="27" spans="1:2" ht="18" customHeight="1" x14ac:dyDescent="0.25">
      <c r="A27" s="40" t="s">
        <v>1203</v>
      </c>
      <c r="B27" s="40" t="s">
        <v>1226</v>
      </c>
    </row>
    <row r="28" spans="1:2" ht="18" customHeight="1" x14ac:dyDescent="0.25">
      <c r="A28" s="39" t="s">
        <v>1227</v>
      </c>
      <c r="B28" s="39" t="s">
        <v>1228</v>
      </c>
    </row>
    <row r="29" spans="1:2" ht="18" customHeight="1" x14ac:dyDescent="0.25">
      <c r="A29" s="40" t="s">
        <v>1229</v>
      </c>
      <c r="B29" s="40" t="s">
        <v>1230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Sales_Data</vt:lpstr>
      <vt:lpstr>Summary_Analysis</vt:lpstr>
      <vt:lpstr>📋 Project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2026-05-14T06:00:35Z</dcterms:created>
  <dcterms:modified xsi:type="dcterms:W3CDTF">2026-05-14T06:30:10Z</dcterms:modified>
  <dc:language>en-US</dc:language>
</cp:coreProperties>
</file>